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4d3b672be4bac276/Desktop/"/>
    </mc:Choice>
  </mc:AlternateContent>
  <xr:revisionPtr revIDLastSave="0" documentId="8_{D3CA37AA-1F59-4D2A-A64B-1002B9791DFE}" xr6:coauthVersionLast="47" xr6:coauthVersionMax="47" xr10:uidLastSave="{00000000-0000-0000-0000-000000000000}"/>
  <bookViews>
    <workbookView xWindow="0" yWindow="0" windowWidth="19110" windowHeight="11280" activeTab="2" xr2:uid="{EE71C069-AAC1-49F6-8C79-CC6831C62001}"/>
  </bookViews>
  <sheets>
    <sheet name="Sheet1" sheetId="6" r:id="rId1"/>
    <sheet name="Raw_Data" sheetId="5" r:id="rId2"/>
    <sheet name="Dashboard" sheetId="12" r:id="rId3"/>
  </sheets>
  <definedNames>
    <definedName name="Slicer_Category">#N/A</definedName>
    <definedName name="Slicer_City">#N/A</definedName>
    <definedName name="Slicer_Months__Order_Date">#N/A</definedName>
    <definedName name="Slicer_Payment_Mode">#N/A</definedName>
    <definedName name="Slicer_Product">#N/A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12" l="1"/>
  <c r="L9" i="12"/>
  <c r="G9" i="12"/>
  <c r="B9" i="12"/>
  <c r="K504" i="5"/>
  <c r="K503" i="5"/>
  <c r="K502" i="5"/>
  <c r="K2" i="5"/>
  <c r="K506" i="5" s="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alcChain>
</file>

<file path=xl/sharedStrings.xml><?xml version="1.0" encoding="utf-8"?>
<sst xmlns="http://schemas.openxmlformats.org/spreadsheetml/2006/main" count="3567" uniqueCount="614">
  <si>
    <t>Order ID</t>
  </si>
  <si>
    <t>Order Date</t>
  </si>
  <si>
    <t>Customer Name</t>
  </si>
  <si>
    <t>City</t>
  </si>
  <si>
    <t>Product</t>
  </si>
  <si>
    <t>Category</t>
  </si>
  <si>
    <t>Quantity</t>
  </si>
  <si>
    <t>Unit Price</t>
  </si>
  <si>
    <t>Bengaluru</t>
  </si>
  <si>
    <t>Wireless Mouse</t>
  </si>
  <si>
    <t>Electronics</t>
  </si>
  <si>
    <t>UPI</t>
  </si>
  <si>
    <t>Mumbai</t>
  </si>
  <si>
    <t>Keyboard</t>
  </si>
  <si>
    <t>Hyderabad</t>
  </si>
  <si>
    <t>Notebook</t>
  </si>
  <si>
    <t>Stationery</t>
  </si>
  <si>
    <t>Chennai</t>
  </si>
  <si>
    <t>Water Bottle</t>
  </si>
  <si>
    <t>Cash</t>
  </si>
  <si>
    <t>USB Cable</t>
  </si>
  <si>
    <t>Delhi</t>
  </si>
  <si>
    <t>Pune</t>
  </si>
  <si>
    <t>Home</t>
  </si>
  <si>
    <t>Mysuru</t>
  </si>
  <si>
    <t>Kochi</t>
  </si>
  <si>
    <t>Payment Mode</t>
  </si>
  <si>
    <t>Salesperson</t>
  </si>
  <si>
    <t>ORD1001</t>
  </si>
  <si>
    <t>Aarav</t>
  </si>
  <si>
    <t>Rahul</t>
  </si>
  <si>
    <t>ORD1002</t>
  </si>
  <si>
    <t>Sana</t>
  </si>
  <si>
    <t>Priya</t>
  </si>
  <si>
    <t>ORD1003</t>
  </si>
  <si>
    <t>Rohan</t>
  </si>
  <si>
    <t>Card</t>
  </si>
  <si>
    <t>Arjun</t>
  </si>
  <si>
    <t>ORD1004</t>
  </si>
  <si>
    <t>Anaya</t>
  </si>
  <si>
    <t>ORD1005</t>
  </si>
  <si>
    <t>Imran</t>
  </si>
  <si>
    <t>Headphones</t>
  </si>
  <si>
    <t>ORD1006</t>
  </si>
  <si>
    <t>Meera</t>
  </si>
  <si>
    <t>Pen Set</t>
  </si>
  <si>
    <t>ORD1007</t>
  </si>
  <si>
    <t>Kabir</t>
  </si>
  <si>
    <t>Table Lamp</t>
  </si>
  <si>
    <t>ORD1008</t>
  </si>
  <si>
    <t>Zoya</t>
  </si>
  <si>
    <t>ORD1009</t>
  </si>
  <si>
    <t>Adil</t>
  </si>
  <si>
    <t>Desk Organizer</t>
  </si>
  <si>
    <t>ORD1010</t>
  </si>
  <si>
    <t>Isha</t>
  </si>
  <si>
    <t>Marker Set</t>
  </si>
  <si>
    <t>ORD1011</t>
  </si>
  <si>
    <t>Vihaan</t>
  </si>
  <si>
    <t>Power Bank</t>
  </si>
  <si>
    <t>ORD1012</t>
  </si>
  <si>
    <t>Alina</t>
  </si>
  <si>
    <t>Cushion Set</t>
  </si>
  <si>
    <t>ORD1013</t>
  </si>
  <si>
    <t>Rehan</t>
  </si>
  <si>
    <t>Files</t>
  </si>
  <si>
    <t>ORD1014</t>
  </si>
  <si>
    <t>Tara</t>
  </si>
  <si>
    <t>Webcam</t>
  </si>
  <si>
    <t>ORD1015</t>
  </si>
  <si>
    <t>Dev</t>
  </si>
  <si>
    <t>Wall Clock</t>
  </si>
  <si>
    <t>Smart Watch</t>
  </si>
  <si>
    <t>Sneha</t>
  </si>
  <si>
    <t>Net Banking</t>
  </si>
  <si>
    <t>Karan</t>
  </si>
  <si>
    <t>Farhan</t>
  </si>
  <si>
    <t>Desk Calendar</t>
  </si>
  <si>
    <t>Riya</t>
  </si>
  <si>
    <t>Office</t>
  </si>
  <si>
    <t>Desk Mat</t>
  </si>
  <si>
    <t>Neha</t>
  </si>
  <si>
    <t>Sameer</t>
  </si>
  <si>
    <t>Grocery</t>
  </si>
  <si>
    <t>Green Tea</t>
  </si>
  <si>
    <t>Simran</t>
  </si>
  <si>
    <t>Accessories</t>
  </si>
  <si>
    <t>Backpack</t>
  </si>
  <si>
    <t>Office Chair</t>
  </si>
  <si>
    <t>Travel Pouch</t>
  </si>
  <si>
    <t>Mahi</t>
  </si>
  <si>
    <t>Snack Box</t>
  </si>
  <si>
    <t>ORD1016</t>
  </si>
  <si>
    <t>Sunglasses</t>
  </si>
  <si>
    <t>ORD1017</t>
  </si>
  <si>
    <t>Kunal</t>
  </si>
  <si>
    <t>ORD1018</t>
  </si>
  <si>
    <t>ORD1019</t>
  </si>
  <si>
    <t>Storage Box</t>
  </si>
  <si>
    <t>ORD1020</t>
  </si>
  <si>
    <t>ORD1021</t>
  </si>
  <si>
    <t>ORD1022</t>
  </si>
  <si>
    <t>Nisha</t>
  </si>
  <si>
    <t>ORD1023</t>
  </si>
  <si>
    <t>ORD1024</t>
  </si>
  <si>
    <t>File Cabinet</t>
  </si>
  <si>
    <t>ORD1025</t>
  </si>
  <si>
    <t>Laptop Stand</t>
  </si>
  <si>
    <t>ORD1026</t>
  </si>
  <si>
    <t>ORD1027</t>
  </si>
  <si>
    <t>ORD1028</t>
  </si>
  <si>
    <t>Hina</t>
  </si>
  <si>
    <t>Wallet</t>
  </si>
  <si>
    <t>ORD1029</t>
  </si>
  <si>
    <t>ORD1030</t>
  </si>
  <si>
    <t>Bluetooth Speaker</t>
  </si>
  <si>
    <t>ORD1031</t>
  </si>
  <si>
    <t>ORD1032</t>
  </si>
  <si>
    <t>ORD1033</t>
  </si>
  <si>
    <t>ORD1034</t>
  </si>
  <si>
    <t>ORD1035</t>
  </si>
  <si>
    <t>ORD1036</t>
  </si>
  <si>
    <t>Dry Fruits</t>
  </si>
  <si>
    <t>ORD1037</t>
  </si>
  <si>
    <t>ORD1038</t>
  </si>
  <si>
    <t>ORD1039</t>
  </si>
  <si>
    <t>ORD1040</t>
  </si>
  <si>
    <t>ORD1041</t>
  </si>
  <si>
    <t>ORD1042</t>
  </si>
  <si>
    <t>Coffee Pack</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</si>
  <si>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</si>
  <si>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</si>
  <si>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</si>
  <si>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</si>
  <si>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</si>
  <si>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</si>
  <si>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</si>
  <si>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</si>
  <si>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</si>
  <si>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</si>
  <si>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</si>
  <si>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</si>
  <si>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</si>
  <si>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</si>
  <si>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</si>
  <si>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</si>
  <si>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</si>
  <si>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</si>
  <si>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Saba</t>
  </si>
  <si>
    <t>ORD1061</t>
  </si>
  <si>
    <t>ORD1062</t>
  </si>
  <si>
    <t>ORD1063</t>
  </si>
  <si>
    <t>ORD1064</t>
  </si>
  <si>
    <t>Aisha</t>
  </si>
  <si>
    <t>Sticky Notes</t>
  </si>
  <si>
    <t>ORD1065</t>
  </si>
  <si>
    <t>ORD1066</t>
  </si>
  <si>
    <t>Diya</t>
  </si>
  <si>
    <t>ORD1067</t>
  </si>
  <si>
    <t>ORD1068</t>
  </si>
  <si>
    <t>Aryan</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</si>
  <si>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</si>
  <si>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</si>
  <si>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</si>
  <si>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</si>
  <si>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</si>
  <si>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</si>
  <si>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</si>
  <si>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</si>
  <si>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</si>
  <si>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</si>
  <si>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</si>
  <si>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</si>
  <si>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</si>
  <si>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</si>
  <si>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</si>
  <si>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</si>
  <si>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</si>
  <si>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</si>
  <si>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</si>
  <si>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</si>
  <si>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</si>
  <si>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</si>
  <si>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</si>
  <si>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</si>
  <si>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</si>
  <si>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</si>
  <si>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</si>
  <si>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</si>
  <si>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</si>
  <si>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Yash</t>
  </si>
  <si>
    <t>ORD1098</t>
  </si>
  <si>
    <t>ORD1099</t>
  </si>
  <si>
    <t>ORD1100</t>
  </si>
  <si>
    <t>ORD1101</t>
  </si>
  <si>
    <t>ORD1102</t>
  </si>
  <si>
    <t>ORD1103</t>
  </si>
  <si>
    <t>ORD1104</t>
  </si>
  <si>
    <t>ORD1105</t>
  </si>
  <si>
    <t>ORD1106</t>
  </si>
  <si>
    <t>ORD1107</t>
  </si>
  <si>
    <t>ORD1108</t>
  </si>
  <si>
    <t>Armaan</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</si>
  <si>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</si>
  <si>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</si>
  <si>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</si>
  <si>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</si>
  <si>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</si>
  <si>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</si>
  <si>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</si>
  <si>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</si>
  <si>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</si>
  <si>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</si>
  <si>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</si>
  <si>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</si>
  <si>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</si>
  <si>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</si>
  <si>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</si>
  <si>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</si>
  <si>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</si>
  <si>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</si>
  <si>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</si>
  <si>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</si>
  <si>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</si>
  <si>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</si>
  <si>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</si>
  <si>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</si>
  <si>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</si>
  <si>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</si>
  <si>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</si>
  <si>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</si>
  <si>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</si>
  <si>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</si>
  <si>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</si>
  <si>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</si>
  <si>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</si>
  <si>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</si>
  <si>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</si>
  <si>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</si>
  <si>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</si>
  <si>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</si>
  <si>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</si>
  <si>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</si>
  <si>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</si>
  <si>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</si>
  <si>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</si>
  <si>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</si>
  <si>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</si>
  <si>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</si>
  <si>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</si>
  <si>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</si>
  <si>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</si>
  <si>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</si>
  <si>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</si>
  <si>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</si>
  <si>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</si>
  <si>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</si>
  <si>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</si>
  <si>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</si>
  <si>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</si>
  <si>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</si>
  <si>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</si>
  <si>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</si>
  <si>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</si>
  <si>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</si>
  <si>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</si>
  <si>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</si>
  <si>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</si>
  <si>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</si>
  <si>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</si>
  <si>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</si>
  <si>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</si>
  <si>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</si>
  <si>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</si>
  <si>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</si>
  <si>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</si>
  <si>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</si>
  <si>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</si>
  <si>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</si>
  <si>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</si>
  <si>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</si>
  <si>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</si>
  <si>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</si>
  <si>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</si>
  <si>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</si>
  <si>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</si>
  <si>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</si>
  <si>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</si>
  <si>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</si>
  <si>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</si>
  <si>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</si>
  <si>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</si>
  <si>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</si>
  <si>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</si>
  <si>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</si>
  <si>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</si>
  <si>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</si>
  <si>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</si>
  <si>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</si>
  <si>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</si>
  <si>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</si>
  <si>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</si>
  <si>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</si>
  <si>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</si>
  <si>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</si>
  <si>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</si>
  <si>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</si>
  <si>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</si>
  <si>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</si>
  <si>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</si>
  <si>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</si>
  <si>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</si>
  <si>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</si>
  <si>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</si>
  <si>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</si>
  <si>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</si>
  <si>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</si>
  <si>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</si>
  <si>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</si>
  <si>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</si>
  <si>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</si>
  <si>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</si>
  <si>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</si>
  <si>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</si>
  <si>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</si>
  <si>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</si>
  <si>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</si>
  <si>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</si>
  <si>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</si>
  <si>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</si>
  <si>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</si>
  <si>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</si>
  <si>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</si>
  <si>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</si>
  <si>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</si>
  <si>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</si>
  <si>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</si>
  <si>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</si>
  <si>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</si>
  <si>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</si>
  <si>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</si>
  <si>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</si>
  <si>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</si>
  <si>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</si>
  <si>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</si>
  <si>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</si>
  <si>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</si>
  <si>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</si>
  <si>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</si>
  <si>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</si>
  <si>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</si>
  <si>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</si>
  <si>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</si>
  <si>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</si>
  <si>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</si>
  <si>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</si>
  <si>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</si>
  <si>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</si>
  <si>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</si>
  <si>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</si>
  <si>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</si>
  <si>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</si>
  <si>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</si>
  <si>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</si>
  <si>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</si>
  <si>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</si>
  <si>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</si>
  <si>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</si>
  <si>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</si>
  <si>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</si>
  <si>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</si>
  <si>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</si>
  <si>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</si>
  <si>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</si>
  <si>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</si>
  <si>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</si>
  <si>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</si>
  <si>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</si>
  <si>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</si>
  <si>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</si>
  <si>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</si>
  <si>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</si>
  <si>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</si>
  <si>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</si>
  <si>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</si>
  <si>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</si>
  <si>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</si>
  <si>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</si>
  <si>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</si>
  <si>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</si>
  <si>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</si>
  <si>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</si>
  <si>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</si>
  <si>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</si>
  <si>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</si>
  <si>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</si>
  <si>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</si>
  <si>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</si>
  <si>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</si>
  <si>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</si>
  <si>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</si>
  <si>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</si>
  <si>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</si>
  <si>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</si>
  <si>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</si>
  <si>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</si>
  <si>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</si>
  <si>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</si>
  <si>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</si>
  <si>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</si>
  <si>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</si>
  <si>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</si>
  <si>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</si>
  <si>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</si>
  <si>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</si>
  <si>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</si>
  <si>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</si>
  <si>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</si>
  <si>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</si>
  <si>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</si>
  <si>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</si>
  <si>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</si>
  <si>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</si>
  <si>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</si>
  <si>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</si>
  <si>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</si>
  <si>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</si>
  <si>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</si>
  <si>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</si>
  <si>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</si>
  <si>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</si>
  <si>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</si>
  <si>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</si>
  <si>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</si>
  <si>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</si>
  <si>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</si>
  <si>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</si>
  <si>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</si>
  <si>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</si>
  <si>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</si>
  <si>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</si>
  <si>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</si>
  <si>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</si>
  <si>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</si>
  <si>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</si>
  <si>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</si>
  <si>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</si>
  <si>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</si>
  <si>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</si>
  <si>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</si>
  <si>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</si>
  <si>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</si>
  <si>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</si>
  <si>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</si>
  <si>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</si>
  <si>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</si>
  <si>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</si>
  <si>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</si>
  <si>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</si>
  <si>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</si>
  <si>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</si>
  <si>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</si>
  <si>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</si>
  <si>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</si>
  <si>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</si>
  <si>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</si>
  <si>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</si>
  <si>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</si>
  <si>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</si>
  <si>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</si>
  <si>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</si>
  <si>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</si>
  <si>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</si>
  <si>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</si>
  <si>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</si>
  <si>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</si>
  <si>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</si>
  <si>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</si>
  <si>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</si>
  <si>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</si>
  <si>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</si>
  <si>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</si>
  <si>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</si>
  <si>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</si>
  <si>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</si>
  <si>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</si>
  <si>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</si>
  <si>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</si>
  <si>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</si>
  <si>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</si>
  <si>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</si>
  <si>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</si>
  <si>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</si>
  <si>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</si>
  <si>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</si>
  <si>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</si>
  <si>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</si>
  <si>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</si>
  <si>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</si>
  <si>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</si>
  <si>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</si>
  <si>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</si>
  <si>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</si>
  <si>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</si>
  <si>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</si>
  <si>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</si>
  <si>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</si>
  <si>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</si>
  <si>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</si>
  <si>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</si>
  <si>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</si>
  <si>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</si>
  <si>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</si>
  <si>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</si>
  <si>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</si>
  <si>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</si>
  <si>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</si>
  <si>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</si>
  <si>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</si>
  <si>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</si>
  <si>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</si>
  <si>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</si>
  <si>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</si>
  <si>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</si>
  <si>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</si>
  <si>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</si>
  <si>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</si>
  <si>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</si>
  <si>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</si>
  <si>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</si>
  <si>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</si>
  <si>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</si>
  <si>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</si>
  <si>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</si>
  <si>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</si>
  <si>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</si>
  <si>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</si>
  <si>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</si>
  <si>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</si>
  <si>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</si>
  <si>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</si>
  <si>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</si>
  <si>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</si>
  <si>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</si>
  <si>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</si>
  <si>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</si>
  <si>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</si>
  <si>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</si>
  <si>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</si>
  <si>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</si>
  <si>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</si>
  <si>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</si>
  <si>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</si>
  <si>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</si>
  <si>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</si>
  <si>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</si>
  <si>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</si>
  <si>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</si>
  <si>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</si>
  <si>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</si>
  <si>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</si>
  <si>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</si>
  <si>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</si>
  <si>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</si>
  <si>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</si>
  <si>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</si>
  <si>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</si>
  <si>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</si>
  <si>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</si>
  <si>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</si>
  <si>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</si>
  <si>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</si>
  <si>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</si>
  <si>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</si>
  <si>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</si>
  <si>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</si>
  <si>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</si>
  <si>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</si>
  <si>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</si>
  <si>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</si>
  <si>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</si>
  <si>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</si>
  <si>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</si>
  <si>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</si>
  <si>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</si>
  <si>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</si>
  <si>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</si>
  <si>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</si>
  <si>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</si>
  <si>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</si>
  <si>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</si>
  <si>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</si>
  <si>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</si>
  <si>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</si>
  <si>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</si>
  <si>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Sales</t>
  </si>
  <si>
    <t>Total quantity sold</t>
  </si>
  <si>
    <t>Average order value</t>
  </si>
  <si>
    <t xml:space="preserve">Average selling price </t>
  </si>
  <si>
    <t>Row Labels</t>
  </si>
  <si>
    <t>Grand Total</t>
  </si>
  <si>
    <t>Sum of Sales</t>
  </si>
  <si>
    <t>Apr</t>
  </si>
  <si>
    <t>May</t>
  </si>
  <si>
    <t>Jun</t>
  </si>
  <si>
    <t>Jul</t>
  </si>
  <si>
    <t>Aug</t>
  </si>
  <si>
    <t>Sep</t>
  </si>
  <si>
    <t>Total Sales</t>
  </si>
  <si>
    <t>Sales Performance Overview | 2026</t>
  </si>
  <si>
    <t>Total Quantity Sold</t>
  </si>
  <si>
    <t>Average Order Value</t>
  </si>
  <si>
    <t>Average Selling Price</t>
  </si>
  <si>
    <r>
      <t xml:space="preserve">              </t>
    </r>
    <r>
      <rPr>
        <b/>
        <sz val="24"/>
        <color theme="8" tint="0.79998168889431442"/>
        <rFont val="Aptos Narrow"/>
        <family val="2"/>
      </rPr>
      <t>SALES PERFORMANCE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</si>
</sst>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13809]d\ mmm\ yyyy;@"/>
    <numFmt numFmtId="165" formatCode="#,##0_ ;\-#,##0\ "/>
  </numFmts>
  <fonts count="20" x14ac:knownFonts="1">
    <font>
      <sz val="12"/>
      <color theme="1"/>
      <name val="Aptos Narrow"/>
      <family val="2"/>
      <scheme val="minor"/>
    </font>
    <font>
      <b/>
      <sz val="11"/>
      <color rgb="FF000000"/>
      <name val="Calibri"/>
      <family val="2"/>
    </font>
    <font>
      <sz val="11"/>
      <color rgb="FF000000"/>
      <name val="Calibri"/>
      <family val="2"/>
    </font>
    <font>
      <sz val="8"/>
      <name val="Aptos Narrow"/>
      <family val="2"/>
      <scheme val="minor"/>
    </font>
    <font>
      <sz val="12"/>
      <color theme="8" tint="0.79998168889431442"/>
      <name val="Aptos Narrow"/>
      <family val="2"/>
      <scheme val="minor"/>
    </font>
    <font>
      <b/>
      <sz val="28"/>
      <color theme="8" tint="-0.499984740745262"/>
      <name val="Aptos Narrow"/>
      <family val="2"/>
      <scheme val="minor"/>
    </font>
    <font>
      <sz val="28"/>
      <color theme="1"/>
      <name val="Aptos Narrow"/>
      <family val="2"/>
      <scheme val="minor"/>
    </font>
    <font>
      <b/>
      <sz val="28"/>
      <color theme="9" tint="-0.499984740745262"/>
      <name val="Aptos Narrow"/>
      <family val="2"/>
      <scheme val="minor"/>
    </font>
    <font>
      <b/>
      <sz val="28"/>
      <color theme="7" tint="-0.499984740745262"/>
      <name val="Aptos Narrow"/>
      <family val="2"/>
      <scheme val="minor"/>
    </font>
    <font>
      <sz val="22"/>
      <color theme="1"/>
      <name val="Aptos Narrow"/>
      <family val="2"/>
      <scheme val="minor"/>
    </font>
    <font>
      <b/>
      <sz val="22"/>
      <color rgb="FF000000"/>
      <name val="Calibri"/>
      <family val="2"/>
    </font>
    <font>
      <b/>
      <u val="double"/>
      <sz val="18"/>
      <color theme="8" tint="-0.499984740745262"/>
      <name val="Aptos Narrow"/>
      <family val="2"/>
      <scheme val="minor"/>
    </font>
    <font>
      <b/>
      <u val="double"/>
      <sz val="18"/>
      <color theme="1"/>
      <name val="Aptos Narrow"/>
      <family val="2"/>
      <scheme val="minor"/>
    </font>
    <font>
      <sz val="18"/>
      <color theme="1"/>
      <name val="Aptos Narrow"/>
      <family val="2"/>
      <scheme val="minor"/>
    </font>
    <font>
      <sz val="12"/>
      <color theme="1"/>
      <name val="Aptos Narrow"/>
      <family val="2"/>
      <scheme val="minor"/>
    </font>
    <font>
      <b/>
      <sz val="24"/>
      <color theme="8" tint="0.79998168889431442"/>
      <name val="Aptos Narrow"/>
      <family val="2"/>
      <scheme val="minor"/>
    </font>
    <font>
      <b/>
      <sz val="24"/>
      <color theme="8" tint="0.79998168889431442"/>
      <name val="Aptos Narrow"/>
      <family val="2"/>
    </font>
    <font>
      <b/>
      <sz val="16"/>
      <color theme="8" tint="0.79998168889431442"/>
      <name val="Aptos Narrow"/>
      <family val="2"/>
      <scheme val="minor"/>
    </font>
    <font>
      <b/>
      <sz val="18"/>
      <color theme="8" tint="0.79998168889431442"/>
      <name val="Aptos Narrow"/>
      <family val="2"/>
      <scheme val="minor"/>
    </font>
    <font>
      <sz val="16"/>
      <color theme="8" tint="0.79998168889431442"/>
      <name val="Aptos Narrow"/>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8" tint="0.39997558519241921"/>
        <bgColor indexed="64"/>
      </patternFill>
    </fill>
    <fill>
      <patternFill patternType="solid">
        <fgColor theme="0"/>
        <bgColor indexed="64"/>
      </patternFill>
    </fill>
    <fill>
      <patternFill patternType="solid">
        <fgColor theme="8" tint="-0.249977111117893"/>
        <bgColor indexed="64"/>
      </patternFill>
    </fill>
  </fills>
  <borders count="3">
    <border>
      <left/>
      <right/>
      <top/>
      <bottom/>
      <diagonal/>
    </border>
    <border>
      <left style="medium">
        <color rgb="FF000000"/>
      </left>
      <right style="medium">
        <color rgb="FF000000"/>
      </right>
      <top/>
      <bottom style="medium">
        <color rgb="FF000000"/>
      </bottom>
      <diagonal/>
    </border>
    <border>
      <left/>
      <right style="thin">
        <color theme="4" tint="0.39997558519241921"/>
      </right>
      <top style="double">
        <color theme="4"/>
      </top>
      <bottom style="thin">
        <color theme="4" tint="0.39997558519241921"/>
      </bottom>
      <diagonal/>
    </border>
  </borders>
  <cellStyleXfs count="2">
    <xf numFmtId="0" fontId="0" fillId="0" borderId="0"/>
    <xf numFmtId="43" fontId="14" fillId="0" borderId="0" applyFont="0" applyFill="0" applyBorder="0" applyAlignment="0" applyProtection="0"/>
  </cellStyleXfs>
  <cellXfs count="33">
    <xf numFmtId="0" fontId="0" fillId="0" borderId="0" xfId="0"/>
    <xf numFmtId="0" fontId="2" fillId="0" borderId="0" xfId="0" applyFont="1"/>
    <xf numFmtId="0" fontId="1" fillId="0" borderId="1" xfId="0" applyFont="1" applyBorder="1" applyAlignment="1">
      <alignment horizontal="center" vertical="top"/>
    </xf>
    <xf numFmtId="164" fontId="2" fillId="0" borderId="0" xfId="0" applyNumberFormat="1" applyFon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4" fillId="0" borderId="0" xfId="0" applyFont="1"/>
    <xf numFmtId="0" fontId="6" fillId="0" borderId="0" xfId="0" applyFont="1"/>
    <xf numFmtId="0" fontId="7" fillId="0" borderId="0" xfId="0" applyFont="1"/>
    <xf numFmtId="0" fontId="8" fillId="0" borderId="0" xfId="0" applyFont="1"/>
    <xf numFmtId="0" fontId="5" fillId="0" borderId="0" xfId="0" applyFont="1"/>
    <xf numFmtId="0" fontId="9" fillId="0" borderId="0" xfId="0" applyFont="1"/>
    <xf numFmtId="0" fontId="0" fillId="4" borderId="0" xfId="0" applyFill="1"/>
    <xf numFmtId="3" fontId="0" fillId="0" borderId="0" xfId="0" applyNumberFormat="1"/>
    <xf numFmtId="3" fontId="10" fillId="0" borderId="2" xfId="0" applyNumberFormat="1" applyFont="1" applyBorder="1"/>
    <xf numFmtId="1" fontId="9" fillId="0" borderId="0" xfId="0" applyNumberFormat="1" applyFont="1" applyAlignment="1">
      <alignment horizontal="left" indent="13"/>
    </xf>
    <xf numFmtId="0" fontId="11" fillId="4" borderId="0" xfId="0" applyFont="1" applyFill="1"/>
    <xf numFmtId="0" fontId="11" fillId="4" borderId="0" xfId="0" applyFont="1" applyFill="1" applyAlignment="1">
      <alignment horizontal="center" vertical="center"/>
    </xf>
    <xf numFmtId="0" fontId="12" fillId="4" borderId="0" xfId="0" applyFont="1" applyFill="1" applyAlignment="1">
      <alignment horizontal="center" vertical="center"/>
    </xf>
    <xf numFmtId="0" fontId="13" fillId="4" borderId="0" xfId="0" applyFont="1" applyFill="1" applyAlignment="1">
      <alignment horizontal="center" vertical="center"/>
    </xf>
    <xf numFmtId="0" fontId="13" fillId="4" borderId="0" xfId="0" applyFont="1" applyFill="1"/>
    <xf numFmtId="0" fontId="4" fillId="2" borderId="0" xfId="0" applyFont="1" applyFill="1"/>
    <xf numFmtId="0" fontId="4" fillId="5" borderId="0" xfId="0" applyFont="1" applyFill="1"/>
    <xf numFmtId="0" fontId="4" fillId="3" borderId="0" xfId="0" applyFont="1" applyFill="1"/>
    <xf numFmtId="165" fontId="18" fillId="2" borderId="0" xfId="1" applyNumberFormat="1" applyFont="1" applyFill="1" applyAlignment="1">
      <alignment horizontal="center"/>
    </xf>
    <xf numFmtId="165" fontId="18" fillId="2" borderId="0" xfId="0" applyNumberFormat="1" applyFont="1" applyFill="1" applyAlignment="1">
      <alignment horizontal="center"/>
    </xf>
    <xf numFmtId="3" fontId="18" fillId="2" borderId="0" xfId="0" applyNumberFormat="1" applyFont="1" applyFill="1" applyAlignment="1">
      <alignment horizontal="center"/>
    </xf>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center"/>
    </xf>
    <xf numFmtId="0" fontId="19" fillId="2" borderId="0" xfId="0" applyFont="1" applyFill="1" applyAlignment="1">
      <alignment horizontal="center"/>
    </xf>
  </cellXfs>
  <cellStyles count="2">
    <cellStyle name="Comma" xfId="1" builtinId="3"/>
    <cellStyle name="Normal" xfId="0" builtinId="0"/>
  </cellStyles>
  <dxfs count="29">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22"/>
        <color rgb="FF000000"/>
        <name val="Calibri"/>
        <family val="2"/>
        <scheme val="none"/>
      </font>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28"/>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28"/>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64" formatCode="[$-13809]d\ mmm\ yyyy;@"/>
    </dxf>
    <dxf>
      <font>
        <b val="0"/>
        <i val="0"/>
        <strike val="0"/>
        <condense val="0"/>
        <extend val="0"/>
        <outline val="0"/>
        <shadow val="0"/>
        <u val="none"/>
        <vertAlign val="baseline"/>
        <sz val="11"/>
        <color rgb="FF000000"/>
        <name val="Calibri"/>
        <family val="2"/>
        <scheme val="none"/>
      </font>
      <numFmt numFmtId="164" formatCode="[$-13809]d\ mmm\ yyyy;@"/>
    </dxf>
    <dxf>
      <font>
        <b val="0"/>
        <i val="0"/>
        <strike val="0"/>
        <condense val="0"/>
        <extend val="0"/>
        <outline val="0"/>
        <shadow val="0"/>
        <u val="none"/>
        <vertAlign val="baseline"/>
        <sz val="11"/>
        <color rgb="FFFF0000"/>
        <name val="Calibri"/>
        <family val="2"/>
        <scheme val="none"/>
      </font>
    </dxf>
    <dxf>
      <font>
        <b val="0"/>
        <i val="0"/>
        <strike val="0"/>
        <condense val="0"/>
        <extend val="0"/>
        <outline val="0"/>
        <shadow val="0"/>
        <u val="none"/>
        <vertAlign val="baseline"/>
        <sz val="11"/>
        <color rgb="FF000000"/>
        <name val="Calibri"/>
        <family val="2"/>
        <scheme val="none"/>
      </font>
    </dxf>
    <dxf>
      <border outline="0">
        <top style="medium">
          <color rgb="FF000000"/>
        </top>
      </border>
    </dxf>
    <dxf>
      <font>
        <b val="0"/>
        <i val="0"/>
        <strike val="0"/>
        <condense val="0"/>
        <extend val="0"/>
        <outline val="0"/>
        <shadow val="0"/>
        <u val="none"/>
        <vertAlign val="baseline"/>
        <sz val="11"/>
        <color rgb="FF000000"/>
        <name val="Calibri"/>
        <family val="2"/>
        <scheme val="none"/>
      </font>
    </dxf>
    <dxf>
      <border outline="0">
        <bottom style="medium">
          <color rgb="FF000000"/>
        </bottom>
      </border>
    </dxf>
    <dxf>
      <font>
        <b/>
        <i val="0"/>
        <strike val="0"/>
        <condense val="0"/>
        <extend val="0"/>
        <outline val="0"/>
        <shadow val="0"/>
        <u val="none"/>
        <vertAlign val="baseline"/>
        <sz val="11"/>
        <color rgb="FF000000"/>
        <name val="Calibri"/>
        <family val="2"/>
        <scheme val="none"/>
      </font>
      <alignment horizontal="center" vertical="top" textRotation="0" wrapText="0" indent="0" justifyLastLine="0" shrinkToFit="0" readingOrder="0"/>
      <border diagonalUp="0" diagonalDown="0" outline="0">
        <left style="medium">
          <color rgb="FF000000"/>
        </left>
        <right style="medium">
          <color rgb="FF000000"/>
        </right>
        <top/>
        <bottom/>
      </border>
    </dxf>
    <dxf>
      <numFmt numFmtId="3" formatCode="#,##0"/>
    </dxf>
  </dxfs>
  <tableStyles count="0" defaultTableStyle="TableStyleMedium2" defaultPivotStyle="PivotStyleLight16"/>
  <colors>
    <mruColors>
      <color rgb="FF4B14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600" b="1" i="0" u="none" strike="noStrike" cap="none" normalizeH="0" baseline="0">
                <a:solidFill>
                  <a:schemeClr val="accent5">
                    <a:lumMod val="50000"/>
                  </a:schemeClr>
                </a:solidFill>
              </a:rPr>
              <a:t>Sales by Category</a:t>
            </a:r>
            <a:endParaRPr lang="en-US" b="1">
              <a:solidFill>
                <a:schemeClr val="accent5">
                  <a:lumMod val="50000"/>
                </a:schemeClr>
              </a:solidFill>
            </a:endParaRP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Sheet1!$A$4:$A$10</c:f>
              <c:strCache>
                <c:ptCount val="6"/>
                <c:pt idx="0">
                  <c:v>Office</c:v>
                </c:pt>
                <c:pt idx="1">
                  <c:v>Electronics</c:v>
                </c:pt>
                <c:pt idx="2">
                  <c:v>Accessories</c:v>
                </c:pt>
                <c:pt idx="3">
                  <c:v>Home</c:v>
                </c:pt>
                <c:pt idx="4">
                  <c:v>Grocery</c:v>
                </c:pt>
                <c:pt idx="5">
                  <c:v>Stationery</c:v>
                </c:pt>
              </c:strCache>
            </c:strRef>
          </c:cat>
          <c:val>
            <c:numRef>
              <c:f>Sheet1!$B$4:$B$10</c:f>
              <c:numCache>
                <c:formatCode>#,##0</c:formatCode>
                <c:ptCount val="6"/>
                <c:pt idx="0">
                  <c:v>654125</c:v>
                </c:pt>
                <c:pt idx="1">
                  <c:v>647800</c:v>
                </c:pt>
                <c:pt idx="2">
                  <c:v>256665</c:v>
                </c:pt>
                <c:pt idx="3">
                  <c:v>206155</c:v>
                </c:pt>
                <c:pt idx="4">
                  <c:v>84482.5</c:v>
                </c:pt>
                <c:pt idx="5">
                  <c:v>32472.5</c:v>
                </c:pt>
              </c:numCache>
            </c:numRef>
          </c:val>
          <c:extLst>
            <c:ext xmlns:c16="http://schemas.microsoft.com/office/drawing/2014/chart" uri="{C3380CC4-5D6E-409C-BE32-E72D297353CC}">
              <c16:uniqueId val="{00000000-8F38-4C03-9395-253DF75EB5D0}"/>
            </c:ext>
          </c:extLst>
        </c:ser>
        <c:dLbls>
          <c:dLblPos val="outEnd"/>
          <c:showLegendKey val="0"/>
          <c:showVal val="1"/>
          <c:showCatName val="0"/>
          <c:showSerName val="0"/>
          <c:showPercent val="0"/>
          <c:showBubbleSize val="0"/>
        </c:dLbls>
        <c:gapWidth val="80"/>
        <c:axId val="1725854383"/>
        <c:axId val="1824894447"/>
      </c:barChart>
      <c:catAx>
        <c:axId val="1725854383"/>
        <c:scaling>
          <c:orientation val="minMax"/>
        </c:scaling>
        <c:delete val="0"/>
        <c:axPos val="l"/>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accent5">
                    <a:lumMod val="50000"/>
                  </a:schemeClr>
                </a:solidFill>
                <a:latin typeface="+mn-lt"/>
                <a:ea typeface="+mn-ea"/>
                <a:cs typeface="+mn-cs"/>
              </a:defRPr>
            </a:pPr>
            <a:endParaRPr lang="en-US"/>
          </a:p>
        </c:txPr>
        <c:crossAx val="1824894447"/>
        <c:crosses val="autoZero"/>
        <c:auto val="1"/>
        <c:lblAlgn val="ctr"/>
        <c:lblOffset val="100"/>
        <c:noMultiLvlLbl val="0"/>
      </c:catAx>
      <c:valAx>
        <c:axId val="1824894447"/>
        <c:scaling>
          <c:orientation val="minMax"/>
        </c:scaling>
        <c:delete val="1"/>
        <c:axPos val="b"/>
        <c:numFmt formatCode="#,##0" sourceLinked="1"/>
        <c:majorTickMark val="out"/>
        <c:minorTickMark val="none"/>
        <c:tickLblPos val="nextTo"/>
        <c:crossAx val="172585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5">
                    <a:lumMod val="50000"/>
                  </a:schemeClr>
                </a:solidFill>
              </a:rPr>
              <a:t>Sales by City</a:t>
            </a:r>
            <a:endParaRPr lang="en-US" sz="1600" b="1">
              <a:solidFill>
                <a:schemeClr val="accent5">
                  <a:lumMod val="50000"/>
                </a:schemeClr>
              </a:solidFill>
            </a:endParaRPr>
          </a:p>
        </c:rich>
      </c:tx>
      <c:layout>
        <c:manualLayout>
          <c:xMode val="edge"/>
          <c:yMode val="edge"/>
          <c:x val="0.37004155730533678"/>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Sheet1!$A$19:$A$27</c:f>
              <c:strCache>
                <c:ptCount val="8"/>
                <c:pt idx="0">
                  <c:v>Bengaluru</c:v>
                </c:pt>
                <c:pt idx="1">
                  <c:v>Chennai</c:v>
                </c:pt>
                <c:pt idx="2">
                  <c:v>Delhi</c:v>
                </c:pt>
                <c:pt idx="3">
                  <c:v>Hyderabad</c:v>
                </c:pt>
                <c:pt idx="4">
                  <c:v>Kochi</c:v>
                </c:pt>
                <c:pt idx="5">
                  <c:v>Mumbai</c:v>
                </c:pt>
                <c:pt idx="6">
                  <c:v>Mysuru</c:v>
                </c:pt>
                <c:pt idx="7">
                  <c:v>Pune</c:v>
                </c:pt>
              </c:strCache>
            </c:strRef>
          </c:cat>
          <c:val>
            <c:numRef>
              <c:f>Sheet1!$B$19:$B$27</c:f>
              <c:numCache>
                <c:formatCode>General</c:formatCode>
                <c:ptCount val="8"/>
                <c:pt idx="0">
                  <c:v>185753.5</c:v>
                </c:pt>
                <c:pt idx="1">
                  <c:v>272428</c:v>
                </c:pt>
                <c:pt idx="2">
                  <c:v>250549</c:v>
                </c:pt>
                <c:pt idx="3">
                  <c:v>212458</c:v>
                </c:pt>
                <c:pt idx="4">
                  <c:v>240067</c:v>
                </c:pt>
                <c:pt idx="5">
                  <c:v>214389.5</c:v>
                </c:pt>
                <c:pt idx="6">
                  <c:v>258164</c:v>
                </c:pt>
                <c:pt idx="7">
                  <c:v>247891</c:v>
                </c:pt>
              </c:numCache>
            </c:numRef>
          </c:val>
          <c:extLst>
            <c:ext xmlns:c16="http://schemas.microsoft.com/office/drawing/2014/chart" uri="{C3380CC4-5D6E-409C-BE32-E72D297353CC}">
              <c16:uniqueId val="{00000000-40C2-4439-AAFA-3402272AE611}"/>
            </c:ext>
          </c:extLst>
        </c:ser>
        <c:dLbls>
          <c:dLblPos val="outEnd"/>
          <c:showLegendKey val="0"/>
          <c:showVal val="1"/>
          <c:showCatName val="0"/>
          <c:showSerName val="0"/>
          <c:showPercent val="0"/>
          <c:showBubbleSize val="0"/>
        </c:dLbls>
        <c:gapWidth val="182"/>
        <c:axId val="1998367599"/>
        <c:axId val="1824798447"/>
      </c:barChart>
      <c:catAx>
        <c:axId val="1998367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824798447"/>
        <c:crosses val="autoZero"/>
        <c:auto val="1"/>
        <c:lblAlgn val="ctr"/>
        <c:lblOffset val="100"/>
        <c:noMultiLvlLbl val="0"/>
      </c:catAx>
      <c:valAx>
        <c:axId val="1824798447"/>
        <c:scaling>
          <c:orientation val="minMax"/>
        </c:scaling>
        <c:delete val="1"/>
        <c:axPos val="b"/>
        <c:numFmt formatCode="General" sourceLinked="1"/>
        <c:majorTickMark val="out"/>
        <c:minorTickMark val="none"/>
        <c:tickLblPos val="nextTo"/>
        <c:crossAx val="199836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lumMod val="50000"/>
                  </a:schemeClr>
                </a:solidFill>
              </a:rPr>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Sheet1!$B$34</c:f>
              <c:strCache>
                <c:ptCount val="1"/>
                <c:pt idx="0">
                  <c:v>Total</c:v>
                </c:pt>
              </c:strCache>
            </c:strRef>
          </c:tx>
          <c:spPr>
            <a:solidFill>
              <a:schemeClr val="accent5"/>
            </a:solidFill>
            <a:ln>
              <a:noFill/>
            </a:ln>
            <a:effectLst/>
          </c:spPr>
          <c:invertIfNegative val="0"/>
          <c:cat>
            <c:strRef>
              <c:f>Sheet1!$A$35:$A$41</c:f>
              <c:strCache>
                <c:ptCount val="6"/>
                <c:pt idx="0">
                  <c:v>Priya</c:v>
                </c:pt>
                <c:pt idx="1">
                  <c:v>Arjun</c:v>
                </c:pt>
                <c:pt idx="2">
                  <c:v>Sneha</c:v>
                </c:pt>
                <c:pt idx="3">
                  <c:v>Karan</c:v>
                </c:pt>
                <c:pt idx="4">
                  <c:v>Neha</c:v>
                </c:pt>
                <c:pt idx="5">
                  <c:v>Rahul</c:v>
                </c:pt>
              </c:strCache>
            </c:strRef>
          </c:cat>
          <c:val>
            <c:numRef>
              <c:f>Sheet1!$B$35:$B$41</c:f>
              <c:numCache>
                <c:formatCode>General</c:formatCode>
                <c:ptCount val="6"/>
                <c:pt idx="0">
                  <c:v>429190</c:v>
                </c:pt>
                <c:pt idx="1">
                  <c:v>393657</c:v>
                </c:pt>
                <c:pt idx="2">
                  <c:v>308202.5</c:v>
                </c:pt>
                <c:pt idx="3">
                  <c:v>296050.5</c:v>
                </c:pt>
                <c:pt idx="4">
                  <c:v>232925</c:v>
                </c:pt>
                <c:pt idx="5">
                  <c:v>221675</c:v>
                </c:pt>
              </c:numCache>
            </c:numRef>
          </c:val>
          <c:extLst>
            <c:ext xmlns:c16="http://schemas.microsoft.com/office/drawing/2014/chart" uri="{C3380CC4-5D6E-409C-BE32-E72D297353CC}">
              <c16:uniqueId val="{00000000-DE6C-4C73-8647-30002433F229}"/>
            </c:ext>
          </c:extLst>
        </c:ser>
        <c:dLbls>
          <c:showLegendKey val="0"/>
          <c:showVal val="0"/>
          <c:showCatName val="0"/>
          <c:showSerName val="0"/>
          <c:showPercent val="0"/>
          <c:showBubbleSize val="0"/>
        </c:dLbls>
        <c:gapWidth val="219"/>
        <c:overlap val="-27"/>
        <c:axId val="2102894687"/>
        <c:axId val="1824845487"/>
      </c:barChart>
      <c:catAx>
        <c:axId val="210289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824845487"/>
        <c:crosses val="autoZero"/>
        <c:auto val="1"/>
        <c:lblAlgn val="ctr"/>
        <c:lblOffset val="100"/>
        <c:noMultiLvlLbl val="0"/>
      </c:catAx>
      <c:valAx>
        <c:axId val="182484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210289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[Sales_Performance_Dashboard.xlsx]Sheet1!PivotTable6</c:name>
    <c:fmtId val="1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accent5">
                    <a:lumMod val="50000"/>
                  </a:schemeClr>
                </a:solidFill>
              </a:rPr>
              <a:t>Sales</a:t>
            </a:r>
            <a:r>
              <a:rPr lang="en-US" sz="1600" b="1" baseline="0">
                <a:solidFill>
                  <a:schemeClr val="accent5">
                    <a:lumMod val="50000"/>
                  </a:schemeClr>
                </a:solidFill>
              </a:rPr>
              <a:t> by Product</a:t>
            </a:r>
            <a:endParaRPr lang="en-US" sz="16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Sheet1!$B$51</c:f>
              <c:strCache>
                <c:ptCount val="1"/>
                <c:pt idx="0">
                  <c:v>Total</c:v>
                </c:pt>
              </c:strCache>
            </c:strRef>
          </c:tx>
          <c:spPr>
            <a:solidFill>
              <a:schemeClr val="accent5"/>
            </a:solidFill>
            <a:ln>
              <a:noFill/>
            </a:ln>
            <a:effectLst/>
          </c:spPr>
          <c:invertIfNegative val="0"/>
          <c:cat>
            <c:strRef>
              <c:f>Sheet1!$A$52:$A$57</c:f>
              <c:strCache>
                <c:ptCount val="5"/>
                <c:pt idx="0">
                  <c:v>Office Chair</c:v>
                </c:pt>
                <c:pt idx="1">
                  <c:v>File Cabinet</c:v>
                </c:pt>
                <c:pt idx="2">
                  <c:v>Smart Watch</c:v>
                </c:pt>
                <c:pt idx="3">
                  <c:v>Webcam</c:v>
                </c:pt>
                <c:pt idx="4">
                  <c:v>Headphones</c:v>
                </c:pt>
              </c:strCache>
            </c:strRef>
          </c:cat>
          <c:val>
            <c:numRef>
              <c:f>Sheet1!$B$52:$B$57</c:f>
              <c:numCache>
                <c:formatCode>General</c:formatCode>
                <c:ptCount val="5"/>
                <c:pt idx="0">
                  <c:v>353600</c:v>
                </c:pt>
                <c:pt idx="1">
                  <c:v>173880</c:v>
                </c:pt>
                <c:pt idx="2">
                  <c:v>172200</c:v>
                </c:pt>
                <c:pt idx="3">
                  <c:v>133125</c:v>
                </c:pt>
                <c:pt idx="4">
                  <c:v>117900</c:v>
                </c:pt>
              </c:numCache>
            </c:numRef>
          </c:val>
          <c:extLst>
            <c:ext xmlns:c16="http://schemas.microsoft.com/office/drawing/2014/chart" uri="{C3380CC4-5D6E-409C-BE32-E72D297353CC}">
              <c16:uniqueId val="{00000000-C5C7-4916-A589-17E482EE642A}"/>
            </c:ext>
          </c:extLst>
        </c:ser>
        <c:dLbls>
          <c:showLegendKey val="0"/>
          <c:showVal val="0"/>
          <c:showCatName val="0"/>
          <c:showSerName val="0"/>
          <c:showPercent val="0"/>
          <c:showBubbleSize val="0"/>
        </c:dLbls>
        <c:gapWidth val="199"/>
        <c:axId val="1790373104"/>
        <c:axId val="1453115600"/>
      </c:barChart>
      <c:catAx>
        <c:axId val="179037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accent5">
                    <a:lumMod val="50000"/>
                  </a:schemeClr>
                </a:solidFill>
                <a:latin typeface="+mn-lt"/>
                <a:ea typeface="+mn-ea"/>
                <a:cs typeface="+mn-cs"/>
              </a:defRPr>
            </a:pPr>
            <a:endParaRPr lang="en-US"/>
          </a:p>
        </c:txPr>
        <c:crossAx val="1453115600"/>
        <c:crosses val="autoZero"/>
        <c:auto val="1"/>
        <c:lblAlgn val="ctr"/>
        <c:lblOffset val="100"/>
        <c:noMultiLvlLbl val="0"/>
      </c:catAx>
      <c:valAx>
        <c:axId val="145311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79037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rPr>
              <a:t>Sales</a:t>
            </a:r>
            <a:r>
              <a:rPr lang="en-US" sz="1600" b="1" baseline="0">
                <a:solidFill>
                  <a:schemeClr val="accent5">
                    <a:lumMod val="50000"/>
                  </a:schemeClr>
                </a:solidFill>
              </a:rPr>
              <a:t> by Month</a:t>
            </a:r>
            <a:endParaRPr lang="en-US" sz="16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22161818314377368"/>
          <c:w val="0.69896019247594054"/>
          <c:h val="0.53811424613589964"/>
        </c:manualLayout>
      </c:layout>
      <c:lineChart>
        <c:grouping val="standard"/>
        <c:varyColors val="0"/>
        <c:ser>
          <c:idx val="0"/>
          <c:order val="0"/>
          <c:tx>
            <c:strRef>
              <c:f>Sheet1!$B$70</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Sheet1!$A$71:$A$77</c:f>
              <c:strCache>
                <c:ptCount val="6"/>
                <c:pt idx="0">
                  <c:v>Apr</c:v>
                </c:pt>
                <c:pt idx="1">
                  <c:v>May</c:v>
                </c:pt>
                <c:pt idx="2">
                  <c:v>Jun</c:v>
                </c:pt>
                <c:pt idx="3">
                  <c:v>Jul</c:v>
                </c:pt>
                <c:pt idx="4">
                  <c:v>Aug</c:v>
                </c:pt>
                <c:pt idx="5">
                  <c:v>Sep</c:v>
                </c:pt>
              </c:strCache>
            </c:strRef>
          </c:cat>
          <c:val>
            <c:numRef>
              <c:f>Sheet1!$B$71:$B$77</c:f>
              <c:numCache>
                <c:formatCode>General</c:formatCode>
                <c:ptCount val="6"/>
                <c:pt idx="0">
                  <c:v>296965.5</c:v>
                </c:pt>
                <c:pt idx="1">
                  <c:v>268237.5</c:v>
                </c:pt>
                <c:pt idx="2">
                  <c:v>279489</c:v>
                </c:pt>
                <c:pt idx="3">
                  <c:v>431606</c:v>
                </c:pt>
                <c:pt idx="4">
                  <c:v>277725</c:v>
                </c:pt>
                <c:pt idx="5">
                  <c:v>327677</c:v>
                </c:pt>
              </c:numCache>
            </c:numRef>
          </c:val>
          <c:smooth val="0"/>
          <c:extLst>
            <c:ext xmlns:c16="http://schemas.microsoft.com/office/drawing/2014/chart" uri="{C3380CC4-5D6E-409C-BE32-E72D297353CC}">
              <c16:uniqueId val="{00000000-5292-4B6F-A3A7-3EA74BC3F709}"/>
            </c:ext>
          </c:extLst>
        </c:ser>
        <c:dLbls>
          <c:showLegendKey val="0"/>
          <c:showVal val="0"/>
          <c:showCatName val="0"/>
          <c:showSerName val="0"/>
          <c:showPercent val="0"/>
          <c:showBubbleSize val="0"/>
        </c:dLbls>
        <c:marker val="1"/>
        <c:smooth val="0"/>
        <c:axId val="1582515264"/>
        <c:axId val="1616984240"/>
      </c:lineChart>
      <c:catAx>
        <c:axId val="1582515264"/>
        <c:scaling>
          <c:orientation val="minMax"/>
        </c:scaling>
        <c:delete val="0"/>
        <c:axPos val="b"/>
        <c:numFmt formatCode="General" sourceLinked="1"/>
        <c:majorTickMark val="out"/>
        <c:minorTickMark val="none"/>
        <c:tickLblPos val="nextTo"/>
        <c:spPr>
          <a:solidFill>
            <a:schemeClr val="accent5">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616984240"/>
        <c:crosses val="autoZero"/>
        <c:auto val="1"/>
        <c:lblAlgn val="ctr"/>
        <c:lblOffset val="100"/>
        <c:noMultiLvlLbl val="0"/>
      </c:catAx>
      <c:valAx>
        <c:axId val="1616984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58251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[Sales_Performance_Dashboard.xlsx]Sheet1!PivotTable1</c:name>
    <c:fmtId val="17"/>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chemeClr val="accent5">
                    <a:lumMod val="50000"/>
                  </a:schemeClr>
                </a:solidFill>
              </a:rPr>
              <a:t>Sales</a:t>
            </a:r>
            <a:r>
              <a:rPr lang="en-US" b="1" baseline="0">
                <a:solidFill>
                  <a:schemeClr val="accent5">
                    <a:lumMod val="50000"/>
                  </a:schemeClr>
                </a:solidFill>
              </a:rPr>
              <a:t> by Category</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5">
                <a:lumMod val="75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Sheet1!$A$4:$A$10</c:f>
              <c:strCache>
                <c:ptCount val="6"/>
                <c:pt idx="0">
                  <c:v>Office</c:v>
                </c:pt>
                <c:pt idx="1">
                  <c:v>Electronics</c:v>
                </c:pt>
                <c:pt idx="2">
                  <c:v>Accessories</c:v>
                </c:pt>
                <c:pt idx="3">
                  <c:v>Home</c:v>
                </c:pt>
                <c:pt idx="4">
                  <c:v>Grocery</c:v>
                </c:pt>
                <c:pt idx="5">
                  <c:v>Stationery</c:v>
                </c:pt>
              </c:strCache>
            </c:strRef>
          </c:cat>
          <c:val>
            <c:numRef>
              <c:f>Sheet1!$B$4:$B$10</c:f>
              <c:numCache>
                <c:formatCode>#,##0</c:formatCode>
                <c:ptCount val="6"/>
                <c:pt idx="0">
                  <c:v>654125</c:v>
                </c:pt>
                <c:pt idx="1">
                  <c:v>647800</c:v>
                </c:pt>
                <c:pt idx="2">
                  <c:v>256665</c:v>
                </c:pt>
                <c:pt idx="3">
                  <c:v>206155</c:v>
                </c:pt>
                <c:pt idx="4">
                  <c:v>84482.5</c:v>
                </c:pt>
                <c:pt idx="5">
                  <c:v>32472.5</c:v>
                </c:pt>
              </c:numCache>
            </c:numRef>
          </c:val>
          <c:extLst>
            <c:ext xmlns:c16="http://schemas.microsoft.com/office/drawing/2014/chart" uri="{C3380CC4-5D6E-409C-BE32-E72D297353CC}">
              <c16:uniqueId val="{00000000-36D0-42F3-8375-5CA7121831FF}"/>
            </c:ext>
          </c:extLst>
        </c:ser>
        <c:dLbls>
          <c:dLblPos val="outEnd"/>
          <c:showLegendKey val="0"/>
          <c:showVal val="1"/>
          <c:showCatName val="0"/>
          <c:showSerName val="0"/>
          <c:showPercent val="0"/>
          <c:showBubbleSize val="0"/>
        </c:dLbls>
        <c:gapWidth val="80"/>
        <c:overlap val="25"/>
        <c:axId val="1725854383"/>
        <c:axId val="1824894447"/>
      </c:barChart>
      <c:catAx>
        <c:axId val="1725854383"/>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accent5">
                    <a:lumMod val="50000"/>
                  </a:schemeClr>
                </a:solidFill>
                <a:latin typeface="+mn-lt"/>
                <a:ea typeface="+mn-ea"/>
                <a:cs typeface="+mn-cs"/>
              </a:defRPr>
            </a:pPr>
            <a:endParaRPr lang="en-US"/>
          </a:p>
        </c:txPr>
        <c:crossAx val="1824894447"/>
        <c:crosses val="autoZero"/>
        <c:auto val="1"/>
        <c:lblAlgn val="ctr"/>
        <c:lblOffset val="100"/>
        <c:noMultiLvlLbl val="0"/>
      </c:catAx>
      <c:valAx>
        <c:axId val="1824894447"/>
        <c:scaling>
          <c:orientation val="minMax"/>
        </c:scaling>
        <c:delete val="1"/>
        <c:axPos val="l"/>
        <c:numFmt formatCode="#,##0" sourceLinked="1"/>
        <c:majorTickMark val="out"/>
        <c:minorTickMark val="none"/>
        <c:tickLblPos val="nextTo"/>
        <c:crossAx val="172585438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[Sales_Performance_Dashboard.xlsx]Sheet1!PivotTable3</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5">
                    <a:lumMod val="50000"/>
                  </a:schemeClr>
                </a:solidFill>
              </a:rPr>
              <a:t>Sales by City</a:t>
            </a:r>
            <a:endParaRPr lang="en-US" sz="1600" b="1">
              <a:solidFill>
                <a:schemeClr val="accent5">
                  <a:lumMod val="50000"/>
                </a:schemeClr>
              </a:solidFill>
            </a:endParaRPr>
          </a:p>
        </c:rich>
      </c:tx>
      <c:layout>
        <c:manualLayout>
          <c:xMode val="edge"/>
          <c:yMode val="edge"/>
          <c:x val="0.37004152243268723"/>
          <c:y val="4.990522018081073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Sheet1!$B$18</c:f>
              <c:strCache>
                <c:ptCount val="1"/>
                <c:pt idx="0">
                  <c:v>Total</c:v>
                </c:pt>
              </c:strCache>
            </c:strRef>
          </c:tx>
          <c:spPr>
            <a:solidFill>
              <a:schemeClr val="accent5">
                <a:lumMod val="7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Sheet1!$A$19:$A$27</c:f>
              <c:strCache>
                <c:ptCount val="8"/>
                <c:pt idx="0">
                  <c:v>Bengaluru</c:v>
                </c:pt>
                <c:pt idx="1">
                  <c:v>Chennai</c:v>
                </c:pt>
                <c:pt idx="2">
                  <c:v>Delhi</c:v>
                </c:pt>
                <c:pt idx="3">
                  <c:v>Hyderabad</c:v>
                </c:pt>
                <c:pt idx="4">
                  <c:v>Kochi</c:v>
                </c:pt>
                <c:pt idx="5">
                  <c:v>Mumbai</c:v>
                </c:pt>
                <c:pt idx="6">
                  <c:v>Mysuru</c:v>
                </c:pt>
                <c:pt idx="7">
                  <c:v>Pune</c:v>
                </c:pt>
              </c:strCache>
            </c:strRef>
          </c:cat>
          <c:val>
            <c:numRef>
              <c:f>Sheet1!$B$19:$B$27</c:f>
              <c:numCache>
                <c:formatCode>General</c:formatCode>
                <c:ptCount val="8"/>
                <c:pt idx="0">
                  <c:v>185753.5</c:v>
                </c:pt>
                <c:pt idx="1">
                  <c:v>272428</c:v>
                </c:pt>
                <c:pt idx="2">
                  <c:v>250549</c:v>
                </c:pt>
                <c:pt idx="3">
                  <c:v>212458</c:v>
                </c:pt>
                <c:pt idx="4">
                  <c:v>240067</c:v>
                </c:pt>
                <c:pt idx="5">
                  <c:v>214389.5</c:v>
                </c:pt>
                <c:pt idx="6">
                  <c:v>258164</c:v>
                </c:pt>
                <c:pt idx="7">
                  <c:v>247891</c:v>
                </c:pt>
              </c:numCache>
            </c:numRef>
          </c:val>
          <c:extLst>
            <c:ext xmlns:c16="http://schemas.microsoft.com/office/drawing/2014/chart" uri="{C3380CC4-5D6E-409C-BE32-E72D297353CC}">
              <c16:uniqueId val="{00000000-12C3-466F-B062-D68EAA5B49AB}"/>
            </c:ext>
          </c:extLst>
        </c:ser>
        <c:dLbls>
          <c:dLblPos val="outEnd"/>
          <c:showLegendKey val="0"/>
          <c:showVal val="1"/>
          <c:showCatName val="0"/>
          <c:showSerName val="0"/>
          <c:showPercent val="0"/>
          <c:showBubbleSize val="0"/>
        </c:dLbls>
        <c:gapWidth val="182"/>
        <c:axId val="1998367599"/>
        <c:axId val="1824798447"/>
      </c:barChart>
      <c:catAx>
        <c:axId val="1998367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824798447"/>
        <c:crosses val="autoZero"/>
        <c:auto val="1"/>
        <c:lblAlgn val="ctr"/>
        <c:lblOffset val="100"/>
        <c:noMultiLvlLbl val="0"/>
      </c:catAx>
      <c:valAx>
        <c:axId val="1824798447"/>
        <c:scaling>
          <c:orientation val="minMax"/>
        </c:scaling>
        <c:delete val="1"/>
        <c:axPos val="b"/>
        <c:numFmt formatCode="General" sourceLinked="1"/>
        <c:majorTickMark val="out"/>
        <c:minorTickMark val="none"/>
        <c:tickLblPos val="nextTo"/>
        <c:crossAx val="199836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[Sales_Performance_Dashboard.xlsx]Sheet1!PivotTable6</c:name>
    <c:fmtId val="2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accent5">
                    <a:lumMod val="50000"/>
                  </a:schemeClr>
                </a:solidFill>
              </a:rPr>
              <a:t>Sales</a:t>
            </a:r>
            <a:r>
              <a:rPr lang="en-US" sz="1600" b="1" baseline="0">
                <a:solidFill>
                  <a:schemeClr val="accent5">
                    <a:lumMod val="50000"/>
                  </a:schemeClr>
                </a:solidFill>
              </a:rPr>
              <a:t> by Product</a:t>
            </a:r>
            <a:endParaRPr lang="en-US" sz="16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Sheet1!$B$51</c:f>
              <c:strCache>
                <c:ptCount val="1"/>
                <c:pt idx="0">
                  <c:v>Total</c:v>
                </c:pt>
              </c:strCache>
            </c:strRef>
          </c:tx>
          <c:spPr>
            <a:solidFill>
              <a:schemeClr val="accent5">
                <a:lumMod val="75000"/>
              </a:schemeClr>
            </a:solidFill>
            <a:ln>
              <a:noFill/>
            </a:ln>
            <a:effectLst/>
          </c:spPr>
          <c:invertIfNegative val="0"/>
          <c:cat>
            <c:strRef>
              <c:f>Sheet1!$A$52:$A$57</c:f>
              <c:strCache>
                <c:ptCount val="5"/>
                <c:pt idx="0">
                  <c:v>Office Chair</c:v>
                </c:pt>
                <c:pt idx="1">
                  <c:v>File Cabinet</c:v>
                </c:pt>
                <c:pt idx="2">
                  <c:v>Smart Watch</c:v>
                </c:pt>
                <c:pt idx="3">
                  <c:v>Webcam</c:v>
                </c:pt>
                <c:pt idx="4">
                  <c:v>Headphones</c:v>
                </c:pt>
              </c:strCache>
            </c:strRef>
          </c:cat>
          <c:val>
            <c:numRef>
              <c:f>Sheet1!$B$52:$B$57</c:f>
              <c:numCache>
                <c:formatCode>General</c:formatCode>
                <c:ptCount val="5"/>
                <c:pt idx="0">
                  <c:v>353600</c:v>
                </c:pt>
                <c:pt idx="1">
                  <c:v>173880</c:v>
                </c:pt>
                <c:pt idx="2">
                  <c:v>172200</c:v>
                </c:pt>
                <c:pt idx="3">
                  <c:v>133125</c:v>
                </c:pt>
                <c:pt idx="4">
                  <c:v>117900</c:v>
                </c:pt>
              </c:numCache>
            </c:numRef>
          </c:val>
          <c:extLst>
            <c:ext xmlns:c16="http://schemas.microsoft.com/office/drawing/2014/chart" uri="{C3380CC4-5D6E-409C-BE32-E72D297353CC}">
              <c16:uniqueId val="{00000000-B650-4306-8020-CBDA3947D68E}"/>
            </c:ext>
          </c:extLst>
        </c:ser>
        <c:dLbls>
          <c:showLegendKey val="0"/>
          <c:showVal val="0"/>
          <c:showCatName val="0"/>
          <c:showSerName val="0"/>
          <c:showPercent val="0"/>
          <c:showBubbleSize val="0"/>
        </c:dLbls>
        <c:gapWidth val="199"/>
        <c:axId val="1790373104"/>
        <c:axId val="1453115600"/>
      </c:barChart>
      <c:catAx>
        <c:axId val="179037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accent5">
                    <a:lumMod val="50000"/>
                  </a:schemeClr>
                </a:solidFill>
                <a:latin typeface="+mn-lt"/>
                <a:ea typeface="+mn-ea"/>
                <a:cs typeface="+mn-cs"/>
              </a:defRPr>
            </a:pPr>
            <a:endParaRPr lang="en-US"/>
          </a:p>
        </c:txPr>
        <c:crossAx val="1453115600"/>
        <c:crosses val="autoZero"/>
        <c:auto val="1"/>
        <c:lblAlgn val="ctr"/>
        <c:lblOffset val="100"/>
        <c:noMultiLvlLbl val="0"/>
      </c:catAx>
      <c:valAx>
        <c:axId val="145311560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79037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50000"/>
                  </a:schemeClr>
                </a:solidFill>
              </a:rPr>
              <a:t>Sales</a:t>
            </a:r>
            <a:r>
              <a:rPr lang="en-US" sz="1600" b="1" baseline="0">
                <a:solidFill>
                  <a:schemeClr val="accent5">
                    <a:lumMod val="50000"/>
                  </a:schemeClr>
                </a:solidFill>
              </a:rPr>
              <a:t> by Month</a:t>
            </a:r>
            <a:endParaRPr lang="en-US" sz="16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lumMod val="75000"/>
              </a:schemeClr>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22161818314377368"/>
          <c:w val="0.69896019247594054"/>
          <c:h val="0.53811424613589964"/>
        </c:manualLayout>
      </c:layout>
      <c:lineChart>
        <c:grouping val="standard"/>
        <c:varyColors val="0"/>
        <c:ser>
          <c:idx val="0"/>
          <c:order val="0"/>
          <c:tx>
            <c:strRef>
              <c:f>Sheet1!$B$70</c:f>
              <c:strCache>
                <c:ptCount val="1"/>
                <c:pt idx="0">
                  <c:v>Total</c:v>
                </c:pt>
              </c:strCache>
            </c:strRef>
          </c:tx>
          <c:spPr>
            <a:ln w="28575" cap="rnd">
              <a:solidFill>
                <a:schemeClr val="accent5"/>
              </a:solidFill>
              <a:round/>
            </a:ln>
            <a:effectLst/>
          </c:spPr>
          <c:marker>
            <c:symbol val="circle"/>
            <c:size val="5"/>
            <c:spPr>
              <a:solidFill>
                <a:schemeClr val="accent5">
                  <a:lumMod val="75000"/>
                </a:schemeClr>
              </a:solidFill>
              <a:ln w="9525">
                <a:solidFill>
                  <a:schemeClr val="accent5"/>
                </a:solidFill>
              </a:ln>
              <a:effectLst/>
            </c:spPr>
          </c:marker>
          <c:cat>
            <c:strRef>
              <c:f>Sheet1!$A$71:$A$77</c:f>
              <c:strCache>
                <c:ptCount val="6"/>
                <c:pt idx="0">
                  <c:v>Apr</c:v>
                </c:pt>
                <c:pt idx="1">
                  <c:v>May</c:v>
                </c:pt>
                <c:pt idx="2">
                  <c:v>Jun</c:v>
                </c:pt>
                <c:pt idx="3">
                  <c:v>Jul</c:v>
                </c:pt>
                <c:pt idx="4">
                  <c:v>Aug</c:v>
                </c:pt>
                <c:pt idx="5">
                  <c:v>Sep</c:v>
                </c:pt>
              </c:strCache>
            </c:strRef>
          </c:cat>
          <c:val>
            <c:numRef>
              <c:f>Sheet1!$B$71:$B$77</c:f>
              <c:numCache>
                <c:formatCode>General</c:formatCode>
                <c:ptCount val="6"/>
                <c:pt idx="0">
                  <c:v>296965.5</c:v>
                </c:pt>
                <c:pt idx="1">
                  <c:v>268237.5</c:v>
                </c:pt>
                <c:pt idx="2">
                  <c:v>279489</c:v>
                </c:pt>
                <c:pt idx="3">
                  <c:v>431606</c:v>
                </c:pt>
                <c:pt idx="4">
                  <c:v>277725</c:v>
                </c:pt>
                <c:pt idx="5">
                  <c:v>327677</c:v>
                </c:pt>
              </c:numCache>
            </c:numRef>
          </c:val>
          <c:smooth val="0"/>
          <c:extLst>
            <c:ext xmlns:c16="http://schemas.microsoft.com/office/drawing/2014/chart" uri="{C3380CC4-5D6E-409C-BE32-E72D297353CC}">
              <c16:uniqueId val="{00000000-135E-449E-B625-ADAA70083C08}"/>
            </c:ext>
          </c:extLst>
        </c:ser>
        <c:dLbls>
          <c:showLegendKey val="0"/>
          <c:showVal val="0"/>
          <c:showCatName val="0"/>
          <c:showSerName val="0"/>
          <c:showPercent val="0"/>
          <c:showBubbleSize val="0"/>
        </c:dLbls>
        <c:marker val="1"/>
        <c:smooth val="0"/>
        <c:axId val="1582515264"/>
        <c:axId val="1616984240"/>
      </c:lineChart>
      <c:catAx>
        <c:axId val="1582515264"/>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616984240"/>
        <c:crosses val="autoZero"/>
        <c:auto val="1"/>
        <c:lblAlgn val="ctr"/>
        <c:lblOffset val="100"/>
        <c:noMultiLvlLbl val="0"/>
      </c:catAx>
      <c:valAx>
        <c:axId val="1616984240"/>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58251526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[Sales_Performance_Dashboard.xlsx]Sheet1!PivotTable4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lumMod val="50000"/>
                  </a:schemeClr>
                </a:solidFill>
              </a:rPr>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Sheet1!$B$34</c:f>
              <c:strCache>
                <c:ptCount val="1"/>
                <c:pt idx="0">
                  <c:v>Total</c:v>
                </c:pt>
              </c:strCache>
            </c:strRef>
          </c:tx>
          <c:spPr>
            <a:solidFill>
              <a:schemeClr val="accent5">
                <a:lumMod val="75000"/>
              </a:schemeClr>
            </a:solidFill>
            <a:ln>
              <a:noFill/>
            </a:ln>
            <a:effectLst/>
          </c:spPr>
          <c:invertIfNegative val="0"/>
          <c:cat>
            <c:strRef>
              <c:f>Sheet1!$A$35:$A$41</c:f>
              <c:strCache>
                <c:ptCount val="6"/>
                <c:pt idx="0">
                  <c:v>Priya</c:v>
                </c:pt>
                <c:pt idx="1">
                  <c:v>Arjun</c:v>
                </c:pt>
                <c:pt idx="2">
                  <c:v>Sneha</c:v>
                </c:pt>
                <c:pt idx="3">
                  <c:v>Karan</c:v>
                </c:pt>
                <c:pt idx="4">
                  <c:v>Neha</c:v>
                </c:pt>
                <c:pt idx="5">
                  <c:v>Rahul</c:v>
                </c:pt>
              </c:strCache>
            </c:strRef>
          </c:cat>
          <c:val>
            <c:numRef>
              <c:f>Sheet1!$B$35:$B$41</c:f>
              <c:numCache>
                <c:formatCode>General</c:formatCode>
                <c:ptCount val="6"/>
                <c:pt idx="0">
                  <c:v>429190</c:v>
                </c:pt>
                <c:pt idx="1">
                  <c:v>393657</c:v>
                </c:pt>
                <c:pt idx="2">
                  <c:v>308202.5</c:v>
                </c:pt>
                <c:pt idx="3">
                  <c:v>296050.5</c:v>
                </c:pt>
                <c:pt idx="4">
                  <c:v>232925</c:v>
                </c:pt>
                <c:pt idx="5">
                  <c:v>221675</c:v>
                </c:pt>
              </c:numCache>
            </c:numRef>
          </c:val>
          <c:extLst>
            <c:ext xmlns:c16="http://schemas.microsoft.com/office/drawing/2014/chart" uri="{C3380CC4-5D6E-409C-BE32-E72D297353CC}">
              <c16:uniqueId val="{00000000-59B8-4E1D-831F-62A2D7B4D02A}"/>
            </c:ext>
          </c:extLst>
        </c:ser>
        <c:dLbls>
          <c:showLegendKey val="0"/>
          <c:showVal val="0"/>
          <c:showCatName val="0"/>
          <c:showSerName val="0"/>
          <c:showPercent val="0"/>
          <c:showBubbleSize val="0"/>
        </c:dLbls>
        <c:gapWidth val="219"/>
        <c:overlap val="-27"/>
        <c:axId val="2102894687"/>
        <c:axId val="1824845487"/>
      </c:barChart>
      <c:catAx>
        <c:axId val="210289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824845487"/>
        <c:crosses val="autoZero"/>
        <c:auto val="1"/>
        <c:lblAlgn val="ctr"/>
        <c:lblOffset val="100"/>
        <c:noMultiLvlLbl val="0"/>
      </c:catAx>
      <c:valAx>
        <c:axId val="1824845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210289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3" Type="http://schemas.openxmlformats.org/officeDocument/2006/relationships/chart" Target="../charts/chart8.xml"/><Relationship Id="rId7" Type="http://schemas.openxmlformats.org/officeDocument/2006/relationships/image" Target="../media/image6.svg"/><Relationship Id="rId12" Type="http://schemas.openxmlformats.org/officeDocument/2006/relationships/image" Target="../media/image1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chart" Target="../charts/chart10.xml"/><Relationship Id="rId15" Type="http://schemas.openxmlformats.org/officeDocument/2006/relationships/image" Target="../media/image14.svg"/><Relationship Id="rId10" Type="http://schemas.openxmlformats.org/officeDocument/2006/relationships/image" Target="../media/image9.png"/><Relationship Id="rId4" Type="http://schemas.openxmlformats.org/officeDocument/2006/relationships/chart" Target="../charts/chart9.xml"/><Relationship Id="rId9" Type="http://schemas.openxmlformats.org/officeDocument/2006/relationships/image" Target="../media/image8.svg"/><Relationship Id="rId1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574675</xdr:colOff>
      <xdr:row>2</xdr:row>
      <xdr:rowOff>47625</xdr:rowOff>
    </xdr:from>
    <xdr:to>
      <xdr:col>7</xdr:col>
      <xdr:colOff>657225</xdr:colOff>
      <xdr:row>15</xdr:row>
      <xdr:rowOff>149225</xdr:rowOff>
    </xdr:to>
    <xdr:graphicFrame macro="">
      <xdr:nvGraphicFramePr>
        <xdr:cNvPr id="2" name="Chart 1">
          <a:extLst>
            <a:ext uri="{FF2B5EF4-FFF2-40B4-BE49-F238E27FC236}">
              <a16:creationId xmlns:a16="http://schemas.microsoft.com/office/drawing/2014/main" id="{A6B158A5-BA15-2605-66E4-735DD011C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568325</xdr:colOff>
      <xdr:row>16</xdr:row>
      <xdr:rowOff>174625</xdr:rowOff>
    </xdr:from>
    <xdr:to>
      <xdr:col>7</xdr:col>
      <xdr:colOff>650875</xdr:colOff>
      <xdr:row>30</xdr:row>
      <xdr:rowOff>73025</xdr:rowOff>
    </xdr:to>
    <xdr:graphicFrame macro="">
      <xdr:nvGraphicFramePr>
        <xdr:cNvPr id="3" name="Chart 2">
          <a:extLst>
            <a:ext uri="{FF2B5EF4-FFF2-40B4-BE49-F238E27FC236}">
              <a16:creationId xmlns:a16="http://schemas.microsoft.com/office/drawing/2014/main" id="{A17F8687-876A-B290-2565-57DA3A799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650875</xdr:colOff>
      <xdr:row>32</xdr:row>
      <xdr:rowOff>117475</xdr:rowOff>
    </xdr:from>
    <xdr:to>
      <xdr:col>7</xdr:col>
      <xdr:colOff>733425</xdr:colOff>
      <xdr:row>46</xdr:row>
      <xdr:rowOff>15875</xdr:rowOff>
    </xdr:to>
    <xdr:graphicFrame macro="">
      <xdr:nvGraphicFramePr>
        <xdr:cNvPr id="5" name="Chart 4">
          <a:extLst>
            <a:ext uri="{FF2B5EF4-FFF2-40B4-BE49-F238E27FC236}">
              <a16:creationId xmlns:a16="http://schemas.microsoft.com/office/drawing/2014/main" id="{3E2A58A7-BD88-8D18-94BA-A89A5B36F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606424</xdr:colOff>
      <xdr:row>49</xdr:row>
      <xdr:rowOff>47625</xdr:rowOff>
    </xdr:from>
    <xdr:to>
      <xdr:col>8</xdr:col>
      <xdr:colOff>12699</xdr:colOff>
      <xdr:row>62</xdr:row>
      <xdr:rowOff>149225</xdr:rowOff>
    </xdr:to>
    <xdr:graphicFrame macro="">
      <xdr:nvGraphicFramePr>
        <xdr:cNvPr id="8" name="Chart 7">
          <a:extLst>
            <a:ext uri="{FF2B5EF4-FFF2-40B4-BE49-F238E27FC236}">
              <a16:creationId xmlns:a16="http://schemas.microsoft.com/office/drawing/2014/main" id="{B9A7E04C-9C3E-D472-BEC4-14645223C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568325</xdr:colOff>
      <xdr:row>65</xdr:row>
      <xdr:rowOff>41275</xdr:rowOff>
    </xdr:from>
    <xdr:to>
      <xdr:col>7</xdr:col>
      <xdr:colOff>650875</xdr:colOff>
      <xdr:row>78</xdr:row>
      <xdr:rowOff>142875</xdr:rowOff>
    </xdr:to>
    <xdr:graphicFrame macro="">
      <xdr:nvGraphicFramePr>
        <xdr:cNvPr id="9" name="Chart 8">
          <a:extLst>
            <a:ext uri="{FF2B5EF4-FFF2-40B4-BE49-F238E27FC236}">
              <a16:creationId xmlns:a16="http://schemas.microsoft.com/office/drawing/2014/main" id="{10DC1D70-0CB7-9212-AFAB-108E39D60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857250</xdr:colOff>
      <xdr:row>2</xdr:row>
      <xdr:rowOff>19050</xdr:rowOff>
    </xdr:from>
    <xdr:to>
      <xdr:col>10</xdr:col>
      <xdr:colOff>184150</xdr:colOff>
      <xdr:row>15</xdr:row>
      <xdr:rowOff>187325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1D8A46A-8453-C87F-77B8-73DF2D124C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37400" y="42545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984250</xdr:colOff>
      <xdr:row>17</xdr:row>
      <xdr:rowOff>63500</xdr:rowOff>
    </xdr:from>
    <xdr:to>
      <xdr:col>10</xdr:col>
      <xdr:colOff>311150</xdr:colOff>
      <xdr:row>31</xdr:row>
      <xdr:rowOff>28575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E84C552-F87D-E282-F9B9-1C7BA8739EF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264400" y="351790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139700</xdr:colOff>
      <xdr:row>32</xdr:row>
      <xdr:rowOff>69850</xdr:rowOff>
    </xdr:from>
    <xdr:to>
      <xdr:col>11</xdr:col>
      <xdr:colOff>120650</xdr:colOff>
      <xdr:row>46</xdr:row>
      <xdr:rowOff>34925</xdr:rowOff>
    </xdr:to>
    <mc:AlternateContent xmlns:mc="http://schemas.openxmlformats.org/markup-compatibility/2006" xmlns:a14="http://schemas.microsoft.com/office/drawing/2010/main">
      <mc:Choice Requires="a14">
        <xdr:graphicFrame macro="">
          <xdr:nvGraphicFramePr>
            <xdr:cNvPr id="10" name="Salesperson">
              <a:extLst>
                <a:ext uri="{FF2B5EF4-FFF2-40B4-BE49-F238E27FC236}">
                  <a16:creationId xmlns:a16="http://schemas.microsoft.com/office/drawing/2014/main" id="{90665A18-9275-9A53-8750-13093D05522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435850" y="657225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527050</xdr:colOff>
      <xdr:row>64</xdr:row>
      <xdr:rowOff>133350</xdr:rowOff>
    </xdr:from>
    <xdr:to>
      <xdr:col>11</xdr:col>
      <xdr:colOff>508000</xdr:colOff>
      <xdr:row>78</xdr:row>
      <xdr:rowOff>98425</xdr:rowOff>
    </xdr:to>
    <mc:AlternateContent xmlns:mc="http://schemas.openxmlformats.org/markup-compatibility/2006" xmlns:a14="http://schemas.microsoft.com/office/drawing/2010/main">
      <mc:Choice Requires="a14">
        <xdr:graphicFrame macro="">
          <xdr:nvGraphicFramePr>
            <xdr:cNvPr id="12" name="Months (Order Date)">
              <a:extLst>
                <a:ext uri="{FF2B5EF4-FFF2-40B4-BE49-F238E27FC236}">
                  <a16:creationId xmlns:a16="http://schemas.microsoft.com/office/drawing/2014/main" id="{3DA03C62-1787-D91B-1120-A45E18EB848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823200" y="1313815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508000</xdr:colOff>
      <xdr:row>49</xdr:row>
      <xdr:rowOff>57150</xdr:rowOff>
    </xdr:from>
    <xdr:to>
      <xdr:col>11</xdr:col>
      <xdr:colOff>488950</xdr:colOff>
      <xdr:row>63</xdr:row>
      <xdr:rowOff>22225</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218A19B4-BC09-D533-B11E-A7223D03C71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804150" y="1001395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57</xdr:row>
      <xdr:rowOff>19050</xdr:rowOff>
    </xdr:from>
    <xdr:to>
      <xdr:col>2</xdr:col>
      <xdr:colOff>165100</xdr:colOff>
      <xdr:row>70</xdr:row>
      <xdr:rowOff>187325</xdr:rowOff>
    </xdr:to>
    <mc:AlternateContent xmlns:mc="http://schemas.openxmlformats.org/markup-compatibility/2006" xmlns:a14="http://schemas.microsoft.com/office/drawing/2010/main">
      <mc:Choice Requires="a14">
        <xdr:graphicFrame macro="">
          <xdr:nvGraphicFramePr>
            <xdr:cNvPr id="6" name="Payment Mode">
              <a:extLst>
                <a:ext uri="{FF2B5EF4-FFF2-40B4-BE49-F238E27FC236}">
                  <a16:creationId xmlns:a16="http://schemas.microsoft.com/office/drawing/2014/main" id="{4811EDE6-5C26-C25E-FF59-CC88ABD1A89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27000" y="1160145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80050</xdr:colOff>
      <xdr:row>11</xdr:row>
      <xdr:rowOff>9072</xdr:rowOff>
    </xdr:from>
    <xdr:to>
      <xdr:col>7</xdr:col>
      <xdr:colOff>614788</xdr:colOff>
      <xdr:row>24</xdr:row>
      <xdr:rowOff>157843</xdr:rowOff>
    </xdr:to>
    <xdr:graphicFrame macro="">
      <xdr:nvGraphicFramePr>
        <xdr:cNvPr id="2" name="Chart 1">
          <a:extLst>
            <a:ext uri="{FF2B5EF4-FFF2-40B4-BE49-F238E27FC236}">
              <a16:creationId xmlns:a16="http://schemas.microsoft.com/office/drawing/2014/main" id="{CD69596A-725D-4375-B70B-5EDA6D60D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119201</xdr:colOff>
      <xdr:row>25</xdr:row>
      <xdr:rowOff>81643</xdr:rowOff>
    </xdr:from>
    <xdr:to>
      <xdr:col>7</xdr:col>
      <xdr:colOff>628793</xdr:colOff>
      <xdr:row>39</xdr:row>
      <xdr:rowOff>30843</xdr:rowOff>
    </xdr:to>
    <xdr:graphicFrame macro="">
      <xdr:nvGraphicFramePr>
        <xdr:cNvPr id="4" name="Chart 3">
          <a:extLst>
            <a:ext uri="{FF2B5EF4-FFF2-40B4-BE49-F238E27FC236}">
              <a16:creationId xmlns:a16="http://schemas.microsoft.com/office/drawing/2014/main" id="{363EE2CD-56D0-4939-B0FC-C5F244F22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11140</xdr:colOff>
      <xdr:row>4</xdr:row>
      <xdr:rowOff>0</xdr:rowOff>
    </xdr:from>
    <xdr:to>
      <xdr:col>25</xdr:col>
      <xdr:colOff>33420</xdr:colOff>
      <xdr:row>13</xdr:row>
      <xdr:rowOff>167106</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8DF09FD1-CDB9-48F5-86B0-1B52BEEEEE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092544" y="612719"/>
              <a:ext cx="1994122" cy="2172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91191</xdr:colOff>
      <xdr:row>11</xdr:row>
      <xdr:rowOff>36286</xdr:rowOff>
    </xdr:from>
    <xdr:to>
      <xdr:col>14</xdr:col>
      <xdr:colOff>614788</xdr:colOff>
      <xdr:row>24</xdr:row>
      <xdr:rowOff>163285</xdr:rowOff>
    </xdr:to>
    <xdr:graphicFrame macro="">
      <xdr:nvGraphicFramePr>
        <xdr:cNvPr id="18" name="Chart 17">
          <a:extLst>
            <a:ext uri="{FF2B5EF4-FFF2-40B4-BE49-F238E27FC236}">
              <a16:creationId xmlns:a16="http://schemas.microsoft.com/office/drawing/2014/main" id="{5F00D431-8850-46DE-B83A-688FB609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0</xdr:colOff>
      <xdr:row>14</xdr:row>
      <xdr:rowOff>33421</xdr:rowOff>
    </xdr:from>
    <xdr:to>
      <xdr:col>25</xdr:col>
      <xdr:colOff>11140</xdr:colOff>
      <xdr:row>24</xdr:row>
      <xdr:rowOff>178245</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04D57B87-79F8-41E1-8FA8-AE3E3D5901B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081404" y="2851930"/>
              <a:ext cx="1982982" cy="2150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xdr:colOff>
      <xdr:row>25</xdr:row>
      <xdr:rowOff>66842</xdr:rowOff>
    </xdr:from>
    <xdr:to>
      <xdr:col>18</xdr:col>
      <xdr:colOff>100262</xdr:colOff>
      <xdr:row>39</xdr:row>
      <xdr:rowOff>2506</xdr:rowOff>
    </xdr:to>
    <mc:AlternateContent xmlns:mc="http://schemas.openxmlformats.org/markup-compatibility/2006" xmlns:a14="http://schemas.microsoft.com/office/drawing/2010/main">
      <mc:Choice Requires="a14">
        <xdr:graphicFrame macro="">
          <xdr:nvGraphicFramePr>
            <xdr:cNvPr id="20" name="Salesperson 1">
              <a:extLst>
                <a:ext uri="{FF2B5EF4-FFF2-40B4-BE49-F238E27FC236}">
                  <a16:creationId xmlns:a16="http://schemas.microsoft.com/office/drawing/2014/main" id="{F7EA568E-8CED-41C6-A563-21B35ADFB3AA}"/>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9480438" y="5091140"/>
              <a:ext cx="2072105" cy="2743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300789</xdr:colOff>
      <xdr:row>25</xdr:row>
      <xdr:rowOff>66842</xdr:rowOff>
    </xdr:from>
    <xdr:to>
      <xdr:col>21</xdr:col>
      <xdr:colOff>479035</xdr:colOff>
      <xdr:row>38</xdr:row>
      <xdr:rowOff>180753</xdr:rowOff>
    </xdr:to>
    <mc:AlternateContent xmlns:mc="http://schemas.openxmlformats.org/markup-compatibility/2006" xmlns:a14="http://schemas.microsoft.com/office/drawing/2010/main">
      <mc:Choice Requires="a14">
        <xdr:graphicFrame macro="">
          <xdr:nvGraphicFramePr>
            <xdr:cNvPr id="22" name="Payment Mode 1">
              <a:extLst>
                <a:ext uri="{FF2B5EF4-FFF2-40B4-BE49-F238E27FC236}">
                  <a16:creationId xmlns:a16="http://schemas.microsoft.com/office/drawing/2014/main" id="{846AA211-A7F1-4F00-8A16-36D9E813CD7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1753070" y="5091140"/>
              <a:ext cx="2150088" cy="2720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25</xdr:row>
      <xdr:rowOff>33422</xdr:rowOff>
    </xdr:from>
    <xdr:to>
      <xdr:col>25</xdr:col>
      <xdr:colOff>0</xdr:colOff>
      <xdr:row>39</xdr:row>
      <xdr:rowOff>2507</xdr:rowOff>
    </xdr:to>
    <mc:AlternateContent xmlns:mc="http://schemas.openxmlformats.org/markup-compatibility/2006" xmlns:a14="http://schemas.microsoft.com/office/drawing/2010/main">
      <mc:Choice Requires="a14">
        <xdr:graphicFrame macro="">
          <xdr:nvGraphicFramePr>
            <xdr:cNvPr id="23" name="Months (Order Date) 1">
              <a:extLst>
                <a:ext uri="{FF2B5EF4-FFF2-40B4-BE49-F238E27FC236}">
                  <a16:creationId xmlns:a16="http://schemas.microsoft.com/office/drawing/2014/main" id="{9A8D8341-42D4-4ADB-A144-F5A10488A0A6}"/>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4081404" y="5057720"/>
              <a:ext cx="1971842" cy="2776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54428</xdr:colOff>
      <xdr:row>11</xdr:row>
      <xdr:rowOff>54428</xdr:rowOff>
    </xdr:from>
    <xdr:to>
      <xdr:col>21</xdr:col>
      <xdr:colOff>462642</xdr:colOff>
      <xdr:row>24</xdr:row>
      <xdr:rowOff>108856</xdr:rowOff>
    </xdr:to>
    <xdr:graphicFrame macro="">
      <xdr:nvGraphicFramePr>
        <xdr:cNvPr id="24" name="Chart 23">
          <a:extLst>
            <a:ext uri="{FF2B5EF4-FFF2-40B4-BE49-F238E27FC236}">
              <a16:creationId xmlns:a16="http://schemas.microsoft.com/office/drawing/2014/main" id="{4C9D6772-6AB0-49C9-9709-BEC0E1048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77982</xdr:colOff>
      <xdr:row>25</xdr:row>
      <xdr:rowOff>90714</xdr:rowOff>
    </xdr:from>
    <xdr:to>
      <xdr:col>14</xdr:col>
      <xdr:colOff>579298</xdr:colOff>
      <xdr:row>39</xdr:row>
      <xdr:rowOff>22280</xdr:rowOff>
    </xdr:to>
    <xdr:graphicFrame macro="">
      <xdr:nvGraphicFramePr>
        <xdr:cNvPr id="25" name="Chart 24">
          <a:extLst>
            <a:ext uri="{FF2B5EF4-FFF2-40B4-BE49-F238E27FC236}">
              <a16:creationId xmlns:a16="http://schemas.microsoft.com/office/drawing/2014/main" id="{728962A5-D270-4005-9A8D-5B9D05DC9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208643</xdr:colOff>
      <xdr:row>11</xdr:row>
      <xdr:rowOff>54429</xdr:rowOff>
    </xdr:from>
    <xdr:to>
      <xdr:col>3</xdr:col>
      <xdr:colOff>81643</xdr:colOff>
      <xdr:row>12</xdr:row>
      <xdr:rowOff>163286</xdr:rowOff>
    </xdr:to>
    <xdr:pic>
      <xdr:nvPicPr>
        <xdr:cNvPr id="6" name="Graphic 5" descr="Bar graph with upward trend with solid fill">
          <a:extLst>
            <a:ext uri="{FF2B5EF4-FFF2-40B4-BE49-F238E27FC236}">
              <a16:creationId xmlns:a16="http://schemas.microsoft.com/office/drawing/2014/main" id="{33180E52-313B-406B-105C-5045EAC5044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43000" y="2258786"/>
          <a:ext cx="535214" cy="308429"/>
        </a:xfrm>
        <a:prstGeom prst="rect">
          <a:avLst/>
        </a:prstGeom>
      </xdr:spPr>
    </xdr:pic>
    <xdr:clientData/>
  </xdr:twoCellAnchor>
  <xdr:twoCellAnchor editAs="oneCell">
    <xdr:from>
      <xdr:col>1</xdr:col>
      <xdr:colOff>326571</xdr:colOff>
      <xdr:row>1</xdr:row>
      <xdr:rowOff>172357</xdr:rowOff>
    </xdr:from>
    <xdr:to>
      <xdr:col>2</xdr:col>
      <xdr:colOff>72572</xdr:colOff>
      <xdr:row>4</xdr:row>
      <xdr:rowOff>3274</xdr:rowOff>
    </xdr:to>
    <xdr:pic>
      <xdr:nvPicPr>
        <xdr:cNvPr id="8" name="Graphic 7" descr="Upward trend with solid fill">
          <a:extLst>
            <a:ext uri="{FF2B5EF4-FFF2-40B4-BE49-F238E27FC236}">
              <a16:creationId xmlns:a16="http://schemas.microsoft.com/office/drawing/2014/main" id="{F097E06D-3E33-D111-5919-F7F1769B03C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8714" y="181428"/>
          <a:ext cx="408215" cy="426357"/>
        </a:xfrm>
        <a:prstGeom prst="rect">
          <a:avLst/>
        </a:prstGeom>
      </xdr:spPr>
    </xdr:pic>
    <xdr:clientData/>
  </xdr:twoCellAnchor>
  <xdr:twoCellAnchor editAs="oneCell">
    <xdr:from>
      <xdr:col>3</xdr:col>
      <xdr:colOff>9072</xdr:colOff>
      <xdr:row>25</xdr:row>
      <xdr:rowOff>72572</xdr:rowOff>
    </xdr:from>
    <xdr:to>
      <xdr:col>3</xdr:col>
      <xdr:colOff>553358</xdr:colOff>
      <xdr:row>27</xdr:row>
      <xdr:rowOff>163286</xdr:rowOff>
    </xdr:to>
    <xdr:pic>
      <xdr:nvPicPr>
        <xdr:cNvPr id="10" name="Graphic 9" descr="Marker with solid fill">
          <a:extLst>
            <a:ext uri="{FF2B5EF4-FFF2-40B4-BE49-F238E27FC236}">
              <a16:creationId xmlns:a16="http://schemas.microsoft.com/office/drawing/2014/main" id="{5A102908-3706-C974-63DE-CD7FCA037CF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05643" y="5070929"/>
          <a:ext cx="544286" cy="489857"/>
        </a:xfrm>
        <a:prstGeom prst="rect">
          <a:avLst/>
        </a:prstGeom>
      </xdr:spPr>
    </xdr:pic>
    <xdr:clientData/>
  </xdr:twoCellAnchor>
  <xdr:twoCellAnchor editAs="oneCell">
    <xdr:from>
      <xdr:col>1</xdr:col>
      <xdr:colOff>90714</xdr:colOff>
      <xdr:row>6</xdr:row>
      <xdr:rowOff>145142</xdr:rowOff>
    </xdr:from>
    <xdr:to>
      <xdr:col>1</xdr:col>
      <xdr:colOff>644071</xdr:colOff>
      <xdr:row>9</xdr:row>
      <xdr:rowOff>63499</xdr:rowOff>
    </xdr:to>
    <xdr:pic>
      <xdr:nvPicPr>
        <xdr:cNvPr id="13" name="Graphic 12" descr="Bar graph with upward trend with solid fill">
          <a:extLst>
            <a:ext uri="{FF2B5EF4-FFF2-40B4-BE49-F238E27FC236}">
              <a16:creationId xmlns:a16="http://schemas.microsoft.com/office/drawing/2014/main" id="{1B41E50E-F827-2C23-3D8B-E3D04C9F255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2857" y="1351642"/>
          <a:ext cx="553357" cy="517071"/>
        </a:xfrm>
        <a:prstGeom prst="rect">
          <a:avLst/>
        </a:prstGeom>
      </xdr:spPr>
    </xdr:pic>
    <xdr:clientData/>
  </xdr:twoCellAnchor>
  <xdr:twoCellAnchor>
    <xdr:from>
      <xdr:col>6</xdr:col>
      <xdr:colOff>63499</xdr:colOff>
      <xdr:row>7</xdr:row>
      <xdr:rowOff>36287</xdr:rowOff>
    </xdr:from>
    <xdr:to>
      <xdr:col>6</xdr:col>
      <xdr:colOff>462642</xdr:colOff>
      <xdr:row>8</xdr:row>
      <xdr:rowOff>172937</xdr:rowOff>
    </xdr:to>
    <xdr:sp macro="" textlink="">
      <xdr:nvSpPr>
        <xdr:cNvPr id="14" name="Cube 13">
          <a:extLst>
            <a:ext uri="{FF2B5EF4-FFF2-40B4-BE49-F238E27FC236}">
              <a16:creationId xmlns:a16="http://schemas.microsoft.com/office/drawing/2014/main" id="{1091A969-9F5E-0E33-984C-3B85E9479014}"/>
            </a:ext>
          </a:extLst>
        </xdr:cNvPr>
        <xdr:cNvSpPr/>
      </xdr:nvSpPr>
      <xdr:spPr>
        <a:xfrm>
          <a:off x="3646713" y="1442358"/>
          <a:ext cx="399143" cy="336222"/>
        </a:xfrm>
        <a:prstGeom prst="cub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99785</xdr:colOff>
      <xdr:row>6</xdr:row>
      <xdr:rowOff>145143</xdr:rowOff>
    </xdr:from>
    <xdr:to>
      <xdr:col>11</xdr:col>
      <xdr:colOff>435428</xdr:colOff>
      <xdr:row>9</xdr:row>
      <xdr:rowOff>99786</xdr:rowOff>
    </xdr:to>
    <xdr:sp macro="" textlink="">
      <xdr:nvSpPr>
        <xdr:cNvPr id="15" name="Flowchart: Connector 14">
          <a:extLst>
            <a:ext uri="{FF2B5EF4-FFF2-40B4-BE49-F238E27FC236}">
              <a16:creationId xmlns:a16="http://schemas.microsoft.com/office/drawing/2014/main" id="{29C00304-974A-44BB-8FAE-E025BB4815D4}"/>
            </a:ext>
          </a:extLst>
        </xdr:cNvPr>
        <xdr:cNvSpPr/>
      </xdr:nvSpPr>
      <xdr:spPr>
        <a:xfrm>
          <a:off x="6994071" y="1351643"/>
          <a:ext cx="335643" cy="553357"/>
        </a:xfrm>
        <a:prstGeom prst="flowChartConnec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217714</xdr:colOff>
      <xdr:row>7</xdr:row>
      <xdr:rowOff>72572</xdr:rowOff>
    </xdr:from>
    <xdr:to>
      <xdr:col>11</xdr:col>
      <xdr:colOff>308428</xdr:colOff>
      <xdr:row>8</xdr:row>
      <xdr:rowOff>154214</xdr:rowOff>
    </xdr:to>
    <xdr:sp macro="" textlink="">
      <xdr:nvSpPr>
        <xdr:cNvPr id="16" name="Arrow: Up 15">
          <a:extLst>
            <a:ext uri="{FF2B5EF4-FFF2-40B4-BE49-F238E27FC236}">
              <a16:creationId xmlns:a16="http://schemas.microsoft.com/office/drawing/2014/main" id="{9155BE1B-3EBF-3AFD-7A52-AE21123B7B59}"/>
            </a:ext>
          </a:extLst>
        </xdr:cNvPr>
        <xdr:cNvSpPr/>
      </xdr:nvSpPr>
      <xdr:spPr>
        <a:xfrm>
          <a:off x="7112000" y="1478643"/>
          <a:ext cx="90714" cy="281214"/>
        </a:xfrm>
        <a:prstGeom prst="upArrow">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54429</xdr:colOff>
      <xdr:row>6</xdr:row>
      <xdr:rowOff>117928</xdr:rowOff>
    </xdr:from>
    <xdr:to>
      <xdr:col>16</xdr:col>
      <xdr:colOff>426357</xdr:colOff>
      <xdr:row>9</xdr:row>
      <xdr:rowOff>63499</xdr:rowOff>
    </xdr:to>
    <xdr:pic>
      <xdr:nvPicPr>
        <xdr:cNvPr id="21" name="Graphic 20" descr="Money with solid fill">
          <a:extLst>
            <a:ext uri="{FF2B5EF4-FFF2-40B4-BE49-F238E27FC236}">
              <a16:creationId xmlns:a16="http://schemas.microsoft.com/office/drawing/2014/main" id="{AF2CC3BD-2029-3BD9-2C43-2939FFDD438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59786" y="1324428"/>
          <a:ext cx="371928" cy="544285"/>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0.24197</cdr:x>
      <cdr:y>0.03667</cdr:y>
    </cdr:from>
    <cdr:to>
      <cdr:x>0.31862</cdr:x>
      <cdr:y>0.11</cdr:y>
    </cdr:to>
    <cdr:sp macro="" textlink="">
      <cdr:nvSpPr>
        <cdr:cNvPr id="2" name="Rectangle 1">
          <a:extLst xmlns:a="http://schemas.openxmlformats.org/drawingml/2006/main">
            <a:ext uri="{FF2B5EF4-FFF2-40B4-BE49-F238E27FC236}">
              <a16:creationId xmlns:a16="http://schemas.microsoft.com/office/drawing/2014/main" id="{2CA0C6A5-3EEE-66F2-4524-170F84A3713A}"/>
            </a:ext>
          </a:extLst>
        </cdr:cNvPr>
        <cdr:cNvSpPr/>
      </cdr:nvSpPr>
      <cdr:spPr>
        <a:xfrm xmlns:a="http://schemas.openxmlformats.org/drawingml/2006/main">
          <a:off x="1088094" y="99786"/>
          <a:ext cx="344714" cy="199573"/>
        </a:xfrm>
        <a:prstGeom xmlns:a="http://schemas.openxmlformats.org/drawingml/2006/main" prst="rect">
          <a:avLst/>
        </a:prstGeom>
        <a:solidFill xmlns:a="http://schemas.openxmlformats.org/drawingml/2006/main">
          <a:schemeClr val="accent5">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0.21946</cdr:x>
      <cdr:y>0</cdr:y>
    </cdr:from>
    <cdr:to>
      <cdr:x>0.35197</cdr:x>
      <cdr:y>0.16438</cdr:y>
    </cdr:to>
    <cdr:pic>
      <cdr:nvPicPr>
        <cdr:cNvPr id="3" name="Graphic 2" descr="Daily calendar with solid fill">
          <a:extLst xmlns:a="http://schemas.openxmlformats.org/drawingml/2006/main">
            <a:ext uri="{FF2B5EF4-FFF2-40B4-BE49-F238E27FC236}">
              <a16:creationId xmlns:a16="http://schemas.microsoft.com/office/drawing/2014/main" id="{96640BB3-FEA2-8557-4A64-D003D0D6434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61572" y="0"/>
          <a:ext cx="580572" cy="435429"/>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0.17719</cdr:x>
      <cdr:y>0</cdr:y>
    </cdr:from>
    <cdr:to>
      <cdr:x>0.29072</cdr:x>
      <cdr:y>0.14977</cdr:y>
    </cdr:to>
    <cdr:pic>
      <cdr:nvPicPr>
        <cdr:cNvPr id="3" name="Graphic 2" descr="User with solid fill">
          <a:extLst xmlns:a="http://schemas.openxmlformats.org/drawingml/2006/main">
            <a:ext uri="{FF2B5EF4-FFF2-40B4-BE49-F238E27FC236}">
              <a16:creationId xmlns:a16="http://schemas.microsoft.com/office/drawing/2014/main" id="{DDF6D1E3-822E-7DD7-B949-ED5B6BEBA37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92874" y="0"/>
          <a:ext cx="508001" cy="40821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me Kulsum" refreshedDate="46301.749168981478" createdVersion="8" refreshedVersion="8" minRefreshableVersion="3" recordCount="500" xr:uid="{608BD198-E7D2-4538-BC34-816004009A38}">
  <cacheSource type="worksheet">
    <worksheetSource name="Table1"/>
  </cacheSource>
  <cacheFields count="13">
    <cacheField name="Order ID" numFmtId="0">
      <sharedItems/>
    </cacheField>
    <cacheField name="Order Date" numFmtId="164">
      <sharedItems containsSemiMixedTypes="0" containsNonDate="0" containsDate="1" containsString="0" minDate="2026-04-01T00:00:00" maxDate="2026-10-01T00:00:00" count="173">
        <d v="2026-09-11T00:00:00"/>
        <d v="2026-04-27T00:00:00"/>
        <d v="2026-08-08T00:00:00"/>
        <d v="2026-06-11T00:00:00"/>
        <d v="2026-05-10T00:00:00"/>
        <d v="2026-07-01T00:00:00"/>
        <d v="2026-04-21T00:00:00"/>
        <d v="2026-04-18T00:00:00"/>
        <d v="2026-09-19T00:00:00"/>
        <d v="2026-07-28T00:00:00"/>
        <d v="2026-04-09T00:00:00"/>
        <d v="2026-08-06T00:00:00"/>
        <d v="2026-08-22T00:00:00"/>
        <d v="2026-05-06T00:00:00"/>
        <d v="2026-05-11T00:00:00"/>
        <d v="2026-04-03T00:00:00"/>
        <d v="2026-06-15T00:00:00"/>
        <d v="2026-04-28T00:00:00"/>
        <d v="2026-05-12T00:00:00"/>
        <d v="2026-06-01T00:00:00"/>
        <d v="2026-08-15T00:00:00"/>
        <d v="2026-09-03T00:00:00"/>
        <d v="2026-04-17T00:00:00"/>
        <d v="2026-09-29T00:00:00"/>
        <d v="2026-05-31T00:00:00"/>
        <d v="2026-07-31T00:00:00"/>
        <d v="2026-07-15T00:00:00"/>
        <d v="2026-06-26T00:00:00"/>
        <d v="2026-05-17T00:00:00"/>
        <d v="2026-08-17T00:00:00"/>
        <d v="2026-05-25T00:00:00"/>
        <d v="2026-07-26T00:00:00"/>
        <d v="2026-04-13T00:00:00"/>
        <d v="2026-08-31T00:00:00"/>
        <d v="2026-04-19T00:00:00"/>
        <d v="2026-06-07T00:00:00"/>
        <d v="2026-09-02T00:00:00"/>
        <d v="2026-04-14T00:00:00"/>
        <d v="2026-04-20T00:00:00"/>
        <d v="2026-04-11T00:00:00"/>
        <d v="2026-06-03T00:00:00"/>
        <d v="2026-05-22T00:00:00"/>
        <d v="2026-06-24T00:00:00"/>
        <d v="2026-04-30T00:00:00"/>
        <d v="2026-06-20T00:00:00"/>
        <d v="2026-04-12T00:00:00"/>
        <d v="2026-07-14T00:00:00"/>
        <d v="2026-09-18T00:00:00"/>
        <d v="2026-04-01T00:00:00"/>
        <d v="2026-07-23T00:00:00"/>
        <d v="2026-09-17T00:00:00"/>
        <d v="2026-05-08T00:00:00"/>
        <d v="2026-09-09T00:00:00"/>
        <d v="2026-09-15T00:00:00"/>
        <d v="2026-09-26T00:00:00"/>
        <d v="2026-07-16T00:00:00"/>
        <d v="2026-07-09T00:00:00"/>
        <d v="2026-06-16T00:00:00"/>
        <d v="2026-06-09T00:00:00"/>
        <d v="2026-05-03T00:00:00"/>
        <d v="2026-07-19T00:00:00"/>
        <d v="2026-07-30T00:00:00"/>
        <d v="2026-05-13T00:00:00"/>
        <d v="2026-08-26T00:00:00"/>
        <d v="2026-06-17T00:00:00"/>
        <d v="2026-07-20T00:00:00"/>
        <d v="2026-08-12T00:00:00"/>
        <d v="2026-08-30T00:00:00"/>
        <d v="2026-06-02T00:00:00"/>
        <d v="2026-09-30T00:00:00"/>
        <d v="2026-09-25T00:00:00"/>
        <d v="2026-08-19T00:00:00"/>
        <d v="2026-05-01T00:00:00"/>
        <d v="2026-08-02T00:00:00"/>
        <d v="2026-08-25T00:00:00"/>
        <d v="2026-08-01T00:00:00"/>
        <d v="2026-05-09T00:00:00"/>
        <d v="2026-07-07T00:00:00"/>
        <d v="2026-09-06T00:00:00"/>
        <d v="2026-09-28T00:00:00"/>
        <d v="2026-08-29T00:00:00"/>
        <d v="2026-07-29T00:00:00"/>
        <d v="2026-09-01T00:00:00"/>
        <d v="2026-05-29T00:00:00"/>
        <d v="2026-08-11T00:00:00"/>
        <d v="2026-05-23T00:00:00"/>
        <d v="2026-05-28T00:00:00"/>
        <d v="2026-06-14T00:00:00"/>
        <d v="2026-08-20T00:00:00"/>
        <d v="2026-07-08T00:00:00"/>
        <d v="2026-05-07T00:00:00"/>
        <d v="2026-09-07T00:00:00"/>
        <d v="2026-08-03T00:00:00"/>
        <d v="2026-04-24T00:00:00"/>
        <d v="2026-06-05T00:00:00"/>
        <d v="2026-08-18T00:00:00"/>
        <d v="2026-06-04T00:00:00"/>
        <d v="2026-08-23T00:00:00"/>
        <d v="2026-06-30T00:00:00"/>
        <d v="2026-09-13T00:00:00"/>
        <d v="2026-08-07T00:00:00"/>
        <d v="2026-07-03T00:00:00"/>
        <d v="2026-09-20T00:00:00"/>
        <d v="2026-04-25T00:00:00"/>
        <d v="2026-09-05T00:00:00"/>
        <d v="2026-07-11T00:00:00"/>
        <d v="2026-07-17T00:00:00"/>
        <d v="2026-04-08T00:00:00"/>
        <d v="2026-06-10T00:00:00"/>
        <d v="2026-04-22T00:00:00"/>
        <d v="2026-08-14T00:00:00"/>
        <d v="2026-06-23T00:00:00"/>
        <d v="2026-05-27T00:00:00"/>
        <d v="2026-05-04T00:00:00"/>
        <d v="2026-07-13T00:00:00"/>
        <d v="2026-07-27T00:00:00"/>
        <d v="2026-08-09T00:00:00"/>
        <d v="2026-04-15T00:00:00"/>
        <d v="2026-07-04T00:00:00"/>
        <d v="2026-06-12T00:00:00"/>
        <d v="2026-09-27T00:00:00"/>
        <d v="2026-06-19T00:00:00"/>
        <d v="2026-04-26T00:00:00"/>
        <d v="2026-05-26T00:00:00"/>
        <d v="2026-08-13T00:00:00"/>
        <d v="2026-04-05T00:00:00"/>
        <d v="2026-04-10T00:00:00"/>
        <d v="2026-05-18T00:00:00"/>
        <d v="2026-07-24T00:00:00"/>
        <d v="2026-05-05T00:00:00"/>
        <d v="2026-09-12T00:00:00"/>
        <d v="2026-06-22T00:00:00"/>
        <d v="2026-05-21T00:00:00"/>
        <d v="2026-08-27T00:00:00"/>
        <d v="2026-09-23T00:00:00"/>
        <d v="2026-06-21T00:00:00"/>
        <d v="2026-08-28T00:00:00"/>
        <d v="2026-07-10T00:00:00"/>
        <d v="2026-06-13T00:00:00"/>
        <d v="2026-04-29T00:00:00"/>
        <d v="2026-09-22T00:00:00"/>
        <d v="2026-08-16T00:00:00"/>
        <d v="2026-08-05T00:00:00"/>
        <d v="2026-06-25T00:00:00"/>
        <d v="2026-05-14T00:00:00"/>
        <d v="2026-04-16T00:00:00"/>
        <d v="2026-07-21T00:00:00"/>
        <d v="2026-09-10T00:00:00"/>
        <d v="2026-07-06T00:00:00"/>
        <d v="2026-06-18T00:00:00"/>
        <d v="2026-04-02T00:00:00"/>
        <d v="2026-05-16T00:00:00"/>
        <d v="2026-09-04T00:00:00"/>
        <d v="2026-06-27T00:00:00"/>
        <d v="2026-07-22T00:00:00"/>
        <d v="2026-08-04T00:00:00"/>
        <d v="2026-04-04T00:00:00"/>
        <d v="2026-04-23T00:00:00"/>
        <d v="2026-09-16T00:00:00"/>
        <d v="2026-06-28T00:00:00"/>
        <d v="2026-05-30T00:00:00"/>
        <d v="2026-07-25T00:00:00"/>
        <d v="2026-04-06T00:00:00"/>
        <d v="2026-05-02T00:00:00"/>
        <d v="2026-05-15T00:00:00"/>
        <d v="2026-09-24T00:00:00"/>
        <d v="2026-06-29T00:00:00"/>
        <d v="2026-07-02T00:00:00"/>
        <d v="2026-04-07T00:00:00"/>
        <d v="2026-06-08T00:00:00"/>
        <d v="2026-06-06T00:00:00"/>
        <d v="2026-07-05T00:00:00"/>
        <d v="2026-08-24T00:00:00"/>
      </sharedItems>
      <fieldGroup par="12"/>
    </cacheField>
    <cacheField name="Customer Name" numFmtId="0">
      <sharedItems/>
    </cacheField>
    <cacheField name="City" numFmtId="0">
      <sharedItems count="8">
        <s v="Hyderabad"/>
        <s v="Mysuru"/>
        <s v="Delhi"/>
        <s v="Kochi"/>
        <s v="Pune"/>
        <s v="Chennai"/>
        <s v="Mumbai"/>
        <s v="Bengaluru"/>
      </sharedItems>
    </cacheField>
    <cacheField name="Category" numFmtId="0">
      <sharedItems count="6">
        <s v="Electronics"/>
        <s v="Stationery"/>
        <s v="Office"/>
        <s v="Home"/>
        <s v="Grocery"/>
        <s v="Accessories"/>
      </sharedItems>
    </cacheField>
    <cacheField name="Product" numFmtId="0">
      <sharedItems count="32">
        <s v="Smart Watch"/>
        <s v="Webcam"/>
        <s v="Keyboard"/>
        <s v="Wireless Mouse"/>
        <s v="Desk Calendar"/>
        <s v="Desk Mat"/>
        <s v="Wall Clock"/>
        <s v="Headphones"/>
        <s v="Green Tea"/>
        <s v="Cushion Set"/>
        <s v="Backpack"/>
        <s v="Office Chair"/>
        <s v="Travel Pouch"/>
        <s v="Desk Organizer"/>
        <s v="Snack Box"/>
        <s v="Sunglasses"/>
        <s v="Storage Box"/>
        <s v="USB Cable"/>
        <s v="Notebook"/>
        <s v="File Cabinet"/>
        <s v="Laptop Stand"/>
        <s v="Wallet"/>
        <s v="Bluetooth Speaker"/>
        <s v="Dry Fruits"/>
        <s v="Power Bank"/>
        <s v="Coffee Pack"/>
        <s v="Pen Set"/>
        <s v="Files"/>
        <s v="Sticky Notes"/>
        <s v="Table Lamp"/>
        <s v="Water Bottle"/>
        <s v="Marker S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76" maxValue="7150"/>
    </cacheField>
    <cacheField name="Payment Mode" numFmtId="0">
      <sharedItems count="4">
        <s v="Cash"/>
        <s v="Net Banking"/>
        <s v="Card"/>
        <s v="UPI"/>
      </sharedItems>
    </cacheField>
    <cacheField name="Salesperson" numFmtId="0">
      <sharedItems count="6">
        <s v="Sneha"/>
        <s v="Priya"/>
        <s v="Karan"/>
        <s v="Arjun"/>
        <s v="Rahul"/>
        <s v="Neha"/>
      </sharedItems>
    </cacheField>
    <cacheField name="Sales" numFmtId="0">
      <sharedItems containsSemiMixedTypes="0" containsString="0" containsNumber="1" minValue="76" maxValue="54600" count="231">
        <n v="3500"/>
        <n v="7125"/>
        <n v="3960"/>
        <n v="2600"/>
        <n v="2000"/>
        <n v="1425"/>
        <n v="4400"/>
        <n v="5400"/>
        <n v="900"/>
        <n v="2660"/>
        <n v="1980"/>
        <n v="12350"/>
        <n v="3675"/>
        <n v="2310"/>
        <n v="237.5"/>
        <n v="3780"/>
        <n v="11550"/>
        <n v="1140"/>
        <n v="3300"/>
        <n v="2047.5"/>
        <n v="330"/>
        <n v="126"/>
        <n v="10560"/>
        <n v="9240"/>
        <n v="285"/>
        <n v="2100"/>
        <n v="855"/>
        <n v="2200"/>
        <n v="1330"/>
        <n v="5200"/>
        <n v="4200"/>
        <n v="1760"/>
        <n v="1870"/>
        <n v="5670"/>
        <n v="6825"/>
        <n v="1430"/>
        <n v="684"/>
        <n v="2250"/>
        <n v="114"/>
        <n v="1000"/>
        <n v="7500"/>
        <n v="577.5"/>
        <n v="240"/>
        <n v="4840"/>
        <n v="712.5"/>
        <n v="665"/>
        <n v="600"/>
        <n v="550"/>
        <n v="1320"/>
        <n v="5130"/>
        <n v="13000"/>
        <n v="1260"/>
        <n v="500"/>
        <n v="1800"/>
        <n v="378"/>
        <n v="3087.5"/>
        <n v="300"/>
        <n v="54600"/>
        <n v="450"/>
        <n v="1400"/>
        <n v="2500"/>
        <n v="1890"/>
        <n v="6600"/>
        <n v="9450"/>
        <n v="2520"/>
        <n v="7920"/>
        <n v="630"/>
        <n v="4560"/>
        <n v="7200"/>
        <n v="2805"/>
        <n v="14000"/>
        <n v="3600"/>
        <n v="15400"/>
        <n v="13230"/>
        <n v="945"/>
        <n v="250"/>
        <n v="94.5"/>
        <n v="475"/>
        <n v="2090"/>
        <n v="198"/>
        <n v="3080"/>
        <n v="2400"/>
        <n v="1680"/>
        <n v="18375"/>
        <n v="2700"/>
        <n v="1417.5"/>
        <n v="3360"/>
        <n v="9000"/>
        <n v="12000"/>
        <n v="525"/>
        <n v="1155"/>
        <n v="3800"/>
        <n v="6650"/>
        <n v="1470"/>
        <n v="11880"/>
        <n v="1312.5"/>
        <n v="2362.5"/>
        <n v="18000"/>
        <n v="4500"/>
        <n v="9120"/>
        <n v="26000"/>
        <n v="200"/>
        <n v="1500"/>
        <n v="1485"/>
        <n v="9500"/>
        <n v="1650"/>
        <n v="39000"/>
        <n v="4750"/>
        <n v="4512.5"/>
        <n v="1200"/>
        <n v="750"/>
        <n v="360"/>
        <n v="2707.5"/>
        <n v="14700"/>
        <n v="2565"/>
        <n v="3150"/>
        <n v="7000"/>
        <n v="14300"/>
        <n v="19500"/>
        <n v="5000"/>
        <n v="2800"/>
        <n v="252"/>
        <n v="12500"/>
        <n v="1045"/>
        <n v="3990"/>
        <n v="10500"/>
        <n v="80"/>
        <n v="168"/>
        <n v="760"/>
        <n v="672"/>
        <n v="157.5"/>
        <n v="6930"/>
        <n v="480"/>
        <n v="5250"/>
        <n v="7875"/>
        <n v="76"/>
        <n v="12600"/>
        <n v="1995"/>
        <n v="570"/>
        <n v="1615"/>
        <n v="264"/>
        <n v="171"/>
        <n v="6300"/>
        <n v="1575"/>
        <n v="2940"/>
        <n v="4000"/>
        <n v="35000"/>
        <n v="2677.5"/>
        <n v="990"/>
        <n v="700"/>
        <n v="88"/>
        <n v="2640"/>
        <n v="1700"/>
        <n v="315"/>
        <n v="770"/>
        <n v="16800"/>
        <n v="7980"/>
        <n v="660"/>
        <n v="160"/>
        <n v="787.5"/>
        <n v="6080"/>
        <n v="275"/>
        <n v="6840"/>
        <n v="2835"/>
        <n v="1710"/>
        <n v="1250"/>
        <n v="650"/>
        <n v="8250"/>
        <n v="3420"/>
        <n v="1600"/>
        <n v="513"/>
        <n v="1540"/>
        <n v="304"/>
        <n v="2850"/>
        <n v="2422.5"/>
        <n v="807.5"/>
        <n v="2992.5"/>
        <n v="5940"/>
        <n v="3610"/>
        <n v="320"/>
        <n v="5600"/>
        <n v="495"/>
        <n v="5880"/>
        <n v="950"/>
        <n v="2420"/>
        <n v="4180"/>
        <n v="21450"/>
        <n v="1900"/>
        <n v="262.5"/>
        <n v="7560"/>
        <n v="1805"/>
        <n v="400"/>
        <n v="3000"/>
        <n v="34125"/>
        <n v="18525"/>
        <n v="735"/>
        <n v="935"/>
        <n v="1950"/>
        <n v="11025"/>
        <n v="25200"/>
        <n v="11340"/>
        <n v="150"/>
        <n v="4620"/>
        <n v="3850"/>
        <n v="997.5"/>
        <n v="4940"/>
        <n v="2887.5"/>
        <n v="902.5"/>
        <n v="472.5"/>
        <n v="10260"/>
        <n v="2137.5"/>
        <n v="850"/>
        <n v="3135"/>
        <n v="6500"/>
        <n v="1008"/>
        <n v="42900"/>
        <n v="522.5"/>
        <n v="3570"/>
        <n v="1300"/>
        <n v="2550"/>
        <n v="2860"/>
        <n v="3325"/>
        <n v="17600"/>
        <n v="23100"/>
        <n v="1350"/>
        <n v="5100"/>
        <n v="13860"/>
        <n v="1732.5"/>
        <n v="380"/>
        <n v="85.5"/>
        <n v="18900"/>
      </sharedItems>
    </cacheField>
    <cacheField name="Days (Order Date)" numFmtId="0" databaseField="0">
      <fieldGroup base="1">
        <rangePr groupBy="days" startDate="2026-04-01T00:00:00" endDate="2026-10-01T00:00:00"/>
        <groupItems count="368">
          <s v="&lt;01/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Months (Order Date)" numFmtId="0" databaseField="0">
      <fieldGroup base="1">
        <rangePr groupBy="months" startDate="2026-04-01T00:00:00" endDate="2026-10-01T00:00:00"/>
        <groupItems count="14">
          <s v="&lt;01/04/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1463102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x v="0"/>
    <s v="Zoya"/>
    <x v="0"/>
    <x v="0"/>
    <x v="0"/>
    <n v="1"/>
    <n v="3500"/>
    <x v="0"/>
    <x v="0"/>
    <x v="0"/>
  </r>
  <r>
    <s v="ORD1002"/>
    <x v="1"/>
    <s v="Aarav"/>
    <x v="1"/>
    <x v="0"/>
    <x v="1"/>
    <n v="3"/>
    <n v="2375"/>
    <x v="0"/>
    <x v="1"/>
    <x v="1"/>
  </r>
  <r>
    <s v="ORD1003"/>
    <x v="2"/>
    <s v="Tara"/>
    <x v="0"/>
    <x v="0"/>
    <x v="2"/>
    <n v="3"/>
    <n v="1320"/>
    <x v="1"/>
    <x v="2"/>
    <x v="2"/>
  </r>
  <r>
    <s v="ORD1004"/>
    <x v="3"/>
    <s v="Farhan"/>
    <x v="2"/>
    <x v="0"/>
    <x v="3"/>
    <n v="4"/>
    <n v="650"/>
    <x v="2"/>
    <x v="3"/>
    <x v="3"/>
  </r>
  <r>
    <s v="ORD1005"/>
    <x v="4"/>
    <s v="Anaya"/>
    <x v="1"/>
    <x v="1"/>
    <x v="4"/>
    <n v="8"/>
    <n v="250"/>
    <x v="1"/>
    <x v="4"/>
    <x v="4"/>
  </r>
  <r>
    <s v="ORD1006"/>
    <x v="5"/>
    <s v="Riya"/>
    <x v="3"/>
    <x v="2"/>
    <x v="5"/>
    <n v="3"/>
    <n v="475"/>
    <x v="3"/>
    <x v="5"/>
    <x v="5"/>
  </r>
  <r>
    <s v="ORD1007"/>
    <x v="6"/>
    <s v="Sameer"/>
    <x v="4"/>
    <x v="3"/>
    <x v="6"/>
    <n v="5"/>
    <n v="880"/>
    <x v="0"/>
    <x v="0"/>
    <x v="6"/>
  </r>
  <r>
    <s v="ORD1008"/>
    <x v="7"/>
    <s v="Rohan"/>
    <x v="0"/>
    <x v="0"/>
    <x v="7"/>
    <n v="3"/>
    <n v="1800"/>
    <x v="3"/>
    <x v="5"/>
    <x v="7"/>
  </r>
  <r>
    <s v="ORD1009"/>
    <x v="3"/>
    <s v="Meera"/>
    <x v="4"/>
    <x v="4"/>
    <x v="8"/>
    <n v="3"/>
    <n v="300"/>
    <x v="2"/>
    <x v="1"/>
    <x v="8"/>
  </r>
  <r>
    <s v="ORD1010"/>
    <x v="8"/>
    <s v="Simran"/>
    <x v="5"/>
    <x v="3"/>
    <x v="9"/>
    <n v="4"/>
    <n v="665"/>
    <x v="0"/>
    <x v="1"/>
    <x v="9"/>
  </r>
  <r>
    <s v="ORD1011"/>
    <x v="9"/>
    <s v="Zoya"/>
    <x v="4"/>
    <x v="5"/>
    <x v="10"/>
    <n v="1"/>
    <n v="1980"/>
    <x v="3"/>
    <x v="1"/>
    <x v="10"/>
  </r>
  <r>
    <s v="ORD1012"/>
    <x v="10"/>
    <s v="Kabir"/>
    <x v="4"/>
    <x v="2"/>
    <x v="11"/>
    <n v="2"/>
    <n v="6175"/>
    <x v="0"/>
    <x v="0"/>
    <x v="11"/>
  </r>
  <r>
    <s v="ORD1013"/>
    <x v="11"/>
    <s v="Imran"/>
    <x v="6"/>
    <x v="5"/>
    <x v="12"/>
    <n v="5"/>
    <n v="735"/>
    <x v="0"/>
    <x v="1"/>
    <x v="12"/>
  </r>
  <r>
    <s v="ORD1014"/>
    <x v="12"/>
    <s v="Sameer"/>
    <x v="2"/>
    <x v="3"/>
    <x v="13"/>
    <n v="4"/>
    <n v="577.5"/>
    <x v="2"/>
    <x v="1"/>
    <x v="13"/>
  </r>
  <r>
    <s v="ORD1015"/>
    <x v="13"/>
    <s v="Mahi"/>
    <x v="1"/>
    <x v="4"/>
    <x v="14"/>
    <n v="1"/>
    <n v="237.5"/>
    <x v="0"/>
    <x v="0"/>
    <x v="14"/>
  </r>
  <r>
    <s v="ORD1016"/>
    <x v="14"/>
    <s v="Rehan"/>
    <x v="3"/>
    <x v="5"/>
    <x v="15"/>
    <n v="3"/>
    <n v="1260"/>
    <x v="2"/>
    <x v="2"/>
    <x v="15"/>
  </r>
  <r>
    <s v="ORD1017"/>
    <x v="15"/>
    <s v="Kunal"/>
    <x v="6"/>
    <x v="0"/>
    <x v="0"/>
    <n v="3"/>
    <n v="3850"/>
    <x v="2"/>
    <x v="4"/>
    <x v="16"/>
  </r>
  <r>
    <s v="ORD1018"/>
    <x v="16"/>
    <s v="Riya"/>
    <x v="6"/>
    <x v="5"/>
    <x v="15"/>
    <n v="1"/>
    <n v="1140"/>
    <x v="0"/>
    <x v="2"/>
    <x v="17"/>
  </r>
  <r>
    <s v="ORD1019"/>
    <x v="17"/>
    <s v="Simran"/>
    <x v="0"/>
    <x v="3"/>
    <x v="16"/>
    <n v="5"/>
    <n v="660"/>
    <x v="0"/>
    <x v="3"/>
    <x v="18"/>
  </r>
  <r>
    <s v="ORD1020"/>
    <x v="18"/>
    <s v="Aarav"/>
    <x v="1"/>
    <x v="0"/>
    <x v="3"/>
    <n v="3"/>
    <n v="682.5"/>
    <x v="2"/>
    <x v="3"/>
    <x v="19"/>
  </r>
  <r>
    <s v="ORD1021"/>
    <x v="19"/>
    <s v="Rohan"/>
    <x v="1"/>
    <x v="0"/>
    <x v="17"/>
    <n v="1"/>
    <n v="330"/>
    <x v="1"/>
    <x v="4"/>
    <x v="20"/>
  </r>
  <r>
    <s v="ORD1022"/>
    <x v="20"/>
    <s v="Nisha"/>
    <x v="5"/>
    <x v="1"/>
    <x v="18"/>
    <n v="1"/>
    <n v="126"/>
    <x v="2"/>
    <x v="2"/>
    <x v="21"/>
  </r>
  <r>
    <s v="ORD1023"/>
    <x v="21"/>
    <s v="Kunal"/>
    <x v="0"/>
    <x v="5"/>
    <x v="15"/>
    <n v="8"/>
    <n v="1320"/>
    <x v="2"/>
    <x v="5"/>
    <x v="22"/>
  </r>
  <r>
    <s v="ORD1024"/>
    <x v="8"/>
    <s v="Dev"/>
    <x v="1"/>
    <x v="2"/>
    <x v="19"/>
    <n v="2"/>
    <n v="4620"/>
    <x v="0"/>
    <x v="1"/>
    <x v="23"/>
  </r>
  <r>
    <s v="ORD1025"/>
    <x v="22"/>
    <s v="Zoya"/>
    <x v="0"/>
    <x v="2"/>
    <x v="20"/>
    <n v="1"/>
    <n v="1980"/>
    <x v="3"/>
    <x v="4"/>
    <x v="10"/>
  </r>
  <r>
    <s v="ORD1026"/>
    <x v="23"/>
    <s v="Mahi"/>
    <x v="4"/>
    <x v="0"/>
    <x v="17"/>
    <n v="1"/>
    <n v="285"/>
    <x v="3"/>
    <x v="2"/>
    <x v="24"/>
  </r>
  <r>
    <s v="ORD1027"/>
    <x v="24"/>
    <s v="Nisha"/>
    <x v="5"/>
    <x v="3"/>
    <x v="9"/>
    <n v="3"/>
    <n v="700"/>
    <x v="1"/>
    <x v="1"/>
    <x v="25"/>
  </r>
  <r>
    <s v="ORD1028"/>
    <x v="25"/>
    <s v="Hina"/>
    <x v="2"/>
    <x v="5"/>
    <x v="21"/>
    <n v="1"/>
    <n v="855"/>
    <x v="2"/>
    <x v="5"/>
    <x v="26"/>
  </r>
  <r>
    <s v="ORD1029"/>
    <x v="26"/>
    <s v="Hina"/>
    <x v="1"/>
    <x v="4"/>
    <x v="8"/>
    <n v="5"/>
    <n v="285"/>
    <x v="3"/>
    <x v="5"/>
    <x v="5"/>
  </r>
  <r>
    <s v="ORD1030"/>
    <x v="27"/>
    <s v="Nisha"/>
    <x v="3"/>
    <x v="0"/>
    <x v="22"/>
    <n v="1"/>
    <n v="2200"/>
    <x v="0"/>
    <x v="5"/>
    <x v="27"/>
  </r>
  <r>
    <s v="ORD1031"/>
    <x v="28"/>
    <s v="Dev"/>
    <x v="1"/>
    <x v="3"/>
    <x v="9"/>
    <n v="2"/>
    <n v="665"/>
    <x v="3"/>
    <x v="0"/>
    <x v="28"/>
  </r>
  <r>
    <s v="ORD1032"/>
    <x v="29"/>
    <s v="Meera"/>
    <x v="2"/>
    <x v="0"/>
    <x v="3"/>
    <n v="8"/>
    <n v="650"/>
    <x v="1"/>
    <x v="5"/>
    <x v="29"/>
  </r>
  <r>
    <s v="ORD1033"/>
    <x v="30"/>
    <s v="Rehan"/>
    <x v="7"/>
    <x v="5"/>
    <x v="12"/>
    <n v="6"/>
    <n v="700"/>
    <x v="1"/>
    <x v="3"/>
    <x v="30"/>
  </r>
  <r>
    <s v="ORD1034"/>
    <x v="31"/>
    <s v="Hina"/>
    <x v="3"/>
    <x v="3"/>
    <x v="6"/>
    <n v="2"/>
    <n v="880"/>
    <x v="0"/>
    <x v="1"/>
    <x v="31"/>
  </r>
  <r>
    <s v="ORD1035"/>
    <x v="16"/>
    <s v="Riya"/>
    <x v="7"/>
    <x v="1"/>
    <x v="4"/>
    <n v="8"/>
    <n v="275"/>
    <x v="2"/>
    <x v="4"/>
    <x v="27"/>
  </r>
  <r>
    <s v="ORD1036"/>
    <x v="32"/>
    <s v="Meera"/>
    <x v="7"/>
    <x v="4"/>
    <x v="23"/>
    <n v="2"/>
    <n v="935"/>
    <x v="3"/>
    <x v="1"/>
    <x v="32"/>
  </r>
  <r>
    <s v="ORD1037"/>
    <x v="7"/>
    <s v="Rehan"/>
    <x v="1"/>
    <x v="0"/>
    <x v="24"/>
    <n v="3"/>
    <n v="1400"/>
    <x v="0"/>
    <x v="2"/>
    <x v="30"/>
  </r>
  <r>
    <s v="ORD1038"/>
    <x v="33"/>
    <s v="Hina"/>
    <x v="4"/>
    <x v="0"/>
    <x v="7"/>
    <n v="3"/>
    <n v="1890"/>
    <x v="2"/>
    <x v="1"/>
    <x v="33"/>
  </r>
  <r>
    <s v="ORD1039"/>
    <x v="8"/>
    <s v="Imran"/>
    <x v="6"/>
    <x v="2"/>
    <x v="11"/>
    <n v="1"/>
    <n v="6825"/>
    <x v="1"/>
    <x v="3"/>
    <x v="34"/>
  </r>
  <r>
    <s v="ORD1040"/>
    <x v="34"/>
    <s v="Anaya"/>
    <x v="1"/>
    <x v="0"/>
    <x v="3"/>
    <n v="2"/>
    <n v="715"/>
    <x v="0"/>
    <x v="2"/>
    <x v="35"/>
  </r>
  <r>
    <s v="ORD1041"/>
    <x v="35"/>
    <s v="Sameer"/>
    <x v="0"/>
    <x v="1"/>
    <x v="18"/>
    <n v="6"/>
    <n v="114"/>
    <x v="2"/>
    <x v="3"/>
    <x v="36"/>
  </r>
  <r>
    <s v="ORD1042"/>
    <x v="14"/>
    <s v="Simran"/>
    <x v="7"/>
    <x v="4"/>
    <x v="25"/>
    <n v="5"/>
    <n v="450"/>
    <x v="2"/>
    <x v="0"/>
    <x v="37"/>
  </r>
  <r>
    <s v="ORD1043"/>
    <x v="1"/>
    <s v="Riya"/>
    <x v="5"/>
    <x v="1"/>
    <x v="18"/>
    <n v="1"/>
    <n v="114"/>
    <x v="2"/>
    <x v="3"/>
    <x v="38"/>
  </r>
  <r>
    <s v="ORD1044"/>
    <x v="36"/>
    <s v="Hina"/>
    <x v="6"/>
    <x v="1"/>
    <x v="4"/>
    <n v="4"/>
    <n v="250"/>
    <x v="1"/>
    <x v="3"/>
    <x v="39"/>
  </r>
  <r>
    <s v="ORD1045"/>
    <x v="37"/>
    <s v="Sana"/>
    <x v="7"/>
    <x v="0"/>
    <x v="1"/>
    <n v="3"/>
    <n v="2500"/>
    <x v="2"/>
    <x v="1"/>
    <x v="40"/>
  </r>
  <r>
    <s v="ORD1046"/>
    <x v="0"/>
    <s v="Nisha"/>
    <x v="2"/>
    <x v="3"/>
    <x v="13"/>
    <n v="1"/>
    <n v="577.5"/>
    <x v="3"/>
    <x v="4"/>
    <x v="41"/>
  </r>
  <r>
    <s v="ORD1047"/>
    <x v="38"/>
    <s v="Rahul"/>
    <x v="5"/>
    <x v="1"/>
    <x v="26"/>
    <n v="3"/>
    <n v="80"/>
    <x v="1"/>
    <x v="1"/>
    <x v="42"/>
  </r>
  <r>
    <s v="ORD1048"/>
    <x v="39"/>
    <s v="Sameer"/>
    <x v="4"/>
    <x v="3"/>
    <x v="16"/>
    <n v="2"/>
    <n v="570"/>
    <x v="0"/>
    <x v="0"/>
    <x v="17"/>
  </r>
  <r>
    <s v="ORD1049"/>
    <x v="40"/>
    <s v="Sameer"/>
    <x v="2"/>
    <x v="0"/>
    <x v="22"/>
    <n v="2"/>
    <n v="2420"/>
    <x v="0"/>
    <x v="1"/>
    <x v="43"/>
  </r>
  <r>
    <s v="ORD1050"/>
    <x v="18"/>
    <s v="Meera"/>
    <x v="4"/>
    <x v="1"/>
    <x v="27"/>
    <n v="5"/>
    <n v="142.5"/>
    <x v="1"/>
    <x v="0"/>
    <x v="44"/>
  </r>
  <r>
    <s v="ORD1051"/>
    <x v="40"/>
    <s v="Rehan"/>
    <x v="7"/>
    <x v="3"/>
    <x v="9"/>
    <n v="1"/>
    <n v="665"/>
    <x v="1"/>
    <x v="1"/>
    <x v="45"/>
  </r>
  <r>
    <s v="ORD1052"/>
    <x v="41"/>
    <s v="Zoya"/>
    <x v="7"/>
    <x v="4"/>
    <x v="8"/>
    <n v="2"/>
    <n v="300"/>
    <x v="0"/>
    <x v="5"/>
    <x v="46"/>
  </r>
  <r>
    <s v="ORD1053"/>
    <x v="42"/>
    <s v="Alina"/>
    <x v="2"/>
    <x v="3"/>
    <x v="9"/>
    <n v="5"/>
    <n v="700"/>
    <x v="2"/>
    <x v="4"/>
    <x v="0"/>
  </r>
  <r>
    <s v="ORD1054"/>
    <x v="43"/>
    <s v="Sana"/>
    <x v="1"/>
    <x v="3"/>
    <x v="13"/>
    <n v="1"/>
    <n v="550"/>
    <x v="1"/>
    <x v="3"/>
    <x v="47"/>
  </r>
  <r>
    <s v="ORD1055"/>
    <x v="44"/>
    <s v="Anaya"/>
    <x v="2"/>
    <x v="5"/>
    <x v="15"/>
    <n v="3"/>
    <n v="1320"/>
    <x v="0"/>
    <x v="3"/>
    <x v="2"/>
  </r>
  <r>
    <s v="ORD1056"/>
    <x v="45"/>
    <s v="Hina"/>
    <x v="0"/>
    <x v="5"/>
    <x v="15"/>
    <n v="1"/>
    <n v="1320"/>
    <x v="2"/>
    <x v="5"/>
    <x v="48"/>
  </r>
  <r>
    <s v="ORD1057"/>
    <x v="7"/>
    <s v="Riya"/>
    <x v="6"/>
    <x v="2"/>
    <x v="20"/>
    <n v="3"/>
    <n v="1710"/>
    <x v="2"/>
    <x v="0"/>
    <x v="49"/>
  </r>
  <r>
    <s v="ORD1058"/>
    <x v="46"/>
    <s v="Nisha"/>
    <x v="5"/>
    <x v="2"/>
    <x v="11"/>
    <n v="2"/>
    <n v="6500"/>
    <x v="0"/>
    <x v="5"/>
    <x v="50"/>
  </r>
  <r>
    <s v="ORD1059"/>
    <x v="47"/>
    <s v="Simran"/>
    <x v="6"/>
    <x v="5"/>
    <x v="10"/>
    <n v="3"/>
    <n v="1800"/>
    <x v="1"/>
    <x v="2"/>
    <x v="7"/>
  </r>
  <r>
    <s v="ORD1060"/>
    <x v="48"/>
    <s v="Saba"/>
    <x v="4"/>
    <x v="3"/>
    <x v="16"/>
    <n v="2"/>
    <n v="630"/>
    <x v="1"/>
    <x v="5"/>
    <x v="51"/>
  </r>
  <r>
    <s v="ORD1061"/>
    <x v="49"/>
    <s v="Hina"/>
    <x v="1"/>
    <x v="1"/>
    <x v="4"/>
    <n v="2"/>
    <n v="250"/>
    <x v="2"/>
    <x v="2"/>
    <x v="52"/>
  </r>
  <r>
    <s v="ORD1062"/>
    <x v="50"/>
    <s v="Hina"/>
    <x v="6"/>
    <x v="2"/>
    <x v="20"/>
    <n v="1"/>
    <n v="1800"/>
    <x v="0"/>
    <x v="1"/>
    <x v="53"/>
  </r>
  <r>
    <s v="ORD1063"/>
    <x v="51"/>
    <s v="Simran"/>
    <x v="1"/>
    <x v="0"/>
    <x v="2"/>
    <n v="1"/>
    <n v="1260"/>
    <x v="1"/>
    <x v="5"/>
    <x v="51"/>
  </r>
  <r>
    <s v="ORD1064"/>
    <x v="52"/>
    <s v="Aisha"/>
    <x v="2"/>
    <x v="1"/>
    <x v="28"/>
    <n v="4"/>
    <n v="94.5"/>
    <x v="0"/>
    <x v="1"/>
    <x v="54"/>
  </r>
  <r>
    <s v="ORD1065"/>
    <x v="53"/>
    <s v="Kunal"/>
    <x v="2"/>
    <x v="0"/>
    <x v="3"/>
    <n v="5"/>
    <n v="617.5"/>
    <x v="0"/>
    <x v="1"/>
    <x v="55"/>
  </r>
  <r>
    <s v="ORD1066"/>
    <x v="54"/>
    <s v="Diya"/>
    <x v="1"/>
    <x v="4"/>
    <x v="8"/>
    <n v="1"/>
    <n v="300"/>
    <x v="1"/>
    <x v="1"/>
    <x v="56"/>
  </r>
  <r>
    <s v="ORD1067"/>
    <x v="9"/>
    <s v="Simran"/>
    <x v="2"/>
    <x v="2"/>
    <x v="11"/>
    <n v="8"/>
    <n v="6825"/>
    <x v="1"/>
    <x v="1"/>
    <x v="57"/>
  </r>
  <r>
    <s v="ORD1068"/>
    <x v="25"/>
    <s v="Aryan"/>
    <x v="6"/>
    <x v="4"/>
    <x v="25"/>
    <n v="1"/>
    <n v="450"/>
    <x v="1"/>
    <x v="0"/>
    <x v="58"/>
  </r>
  <r>
    <s v="ORD1069"/>
    <x v="19"/>
    <s v="Zoya"/>
    <x v="6"/>
    <x v="3"/>
    <x v="9"/>
    <n v="2"/>
    <n v="700"/>
    <x v="2"/>
    <x v="3"/>
    <x v="59"/>
  </r>
  <r>
    <s v="ORD1070"/>
    <x v="29"/>
    <s v="Rehan"/>
    <x v="5"/>
    <x v="0"/>
    <x v="1"/>
    <n v="1"/>
    <n v="2500"/>
    <x v="0"/>
    <x v="4"/>
    <x v="60"/>
  </r>
  <r>
    <s v="ORD1071"/>
    <x v="55"/>
    <s v="Tara"/>
    <x v="7"/>
    <x v="5"/>
    <x v="21"/>
    <n v="2"/>
    <n v="945"/>
    <x v="0"/>
    <x v="5"/>
    <x v="61"/>
  </r>
  <r>
    <s v="ORD1072"/>
    <x v="56"/>
    <s v="Rehan"/>
    <x v="3"/>
    <x v="0"/>
    <x v="2"/>
    <n v="5"/>
    <n v="1320"/>
    <x v="3"/>
    <x v="3"/>
    <x v="62"/>
  </r>
  <r>
    <s v="ORD1073"/>
    <x v="57"/>
    <s v="Nisha"/>
    <x v="0"/>
    <x v="5"/>
    <x v="10"/>
    <n v="5"/>
    <n v="1890"/>
    <x v="1"/>
    <x v="1"/>
    <x v="63"/>
  </r>
  <r>
    <s v="ORD1074"/>
    <x v="58"/>
    <s v="Vihaan"/>
    <x v="2"/>
    <x v="5"/>
    <x v="15"/>
    <n v="2"/>
    <n v="1260"/>
    <x v="0"/>
    <x v="5"/>
    <x v="64"/>
  </r>
  <r>
    <s v="ORD1075"/>
    <x v="59"/>
    <s v="Rahul"/>
    <x v="7"/>
    <x v="0"/>
    <x v="2"/>
    <n v="6"/>
    <n v="1320"/>
    <x v="3"/>
    <x v="0"/>
    <x v="65"/>
  </r>
  <r>
    <s v="ORD1076"/>
    <x v="60"/>
    <s v="Sana"/>
    <x v="6"/>
    <x v="1"/>
    <x v="18"/>
    <n v="5"/>
    <n v="120"/>
    <x v="1"/>
    <x v="3"/>
    <x v="46"/>
  </r>
  <r>
    <s v="ORD1077"/>
    <x v="30"/>
    <s v="Adil"/>
    <x v="2"/>
    <x v="4"/>
    <x v="8"/>
    <n v="2"/>
    <n v="315"/>
    <x v="2"/>
    <x v="4"/>
    <x v="66"/>
  </r>
  <r>
    <s v="ORD1078"/>
    <x v="61"/>
    <s v="Alina"/>
    <x v="0"/>
    <x v="0"/>
    <x v="2"/>
    <n v="4"/>
    <n v="1140"/>
    <x v="3"/>
    <x v="0"/>
    <x v="67"/>
  </r>
  <r>
    <s v="ORD1079"/>
    <x v="39"/>
    <s v="Aryan"/>
    <x v="7"/>
    <x v="0"/>
    <x v="2"/>
    <n v="6"/>
    <n v="1200"/>
    <x v="0"/>
    <x v="1"/>
    <x v="68"/>
  </r>
  <r>
    <s v="ORD1080"/>
    <x v="59"/>
    <s v="Kabir"/>
    <x v="3"/>
    <x v="4"/>
    <x v="23"/>
    <n v="3"/>
    <n v="935"/>
    <x v="2"/>
    <x v="3"/>
    <x v="69"/>
  </r>
  <r>
    <s v="ORD1081"/>
    <x v="62"/>
    <s v="Isha"/>
    <x v="1"/>
    <x v="0"/>
    <x v="0"/>
    <n v="4"/>
    <n v="3500"/>
    <x v="3"/>
    <x v="3"/>
    <x v="70"/>
  </r>
  <r>
    <s v="ORD1082"/>
    <x v="63"/>
    <s v="Rohan"/>
    <x v="0"/>
    <x v="5"/>
    <x v="10"/>
    <n v="2"/>
    <n v="1800"/>
    <x v="3"/>
    <x v="0"/>
    <x v="71"/>
  </r>
  <r>
    <s v="ORD1083"/>
    <x v="64"/>
    <s v="Saba"/>
    <x v="7"/>
    <x v="0"/>
    <x v="0"/>
    <n v="4"/>
    <n v="3850"/>
    <x v="2"/>
    <x v="2"/>
    <x v="72"/>
  </r>
  <r>
    <s v="ORD1084"/>
    <x v="60"/>
    <s v="Aarav"/>
    <x v="2"/>
    <x v="2"/>
    <x v="19"/>
    <n v="1"/>
    <n v="4200"/>
    <x v="1"/>
    <x v="4"/>
    <x v="30"/>
  </r>
  <r>
    <s v="ORD1085"/>
    <x v="65"/>
    <s v="Farhan"/>
    <x v="5"/>
    <x v="2"/>
    <x v="19"/>
    <n v="3"/>
    <n v="4410"/>
    <x v="1"/>
    <x v="1"/>
    <x v="73"/>
  </r>
  <r>
    <s v="ORD1086"/>
    <x v="66"/>
    <s v="Kunal"/>
    <x v="3"/>
    <x v="3"/>
    <x v="9"/>
    <n v="3"/>
    <n v="770"/>
    <x v="1"/>
    <x v="5"/>
    <x v="13"/>
  </r>
  <r>
    <s v="ORD1087"/>
    <x v="67"/>
    <s v="Aryan"/>
    <x v="1"/>
    <x v="3"/>
    <x v="9"/>
    <n v="2"/>
    <n v="700"/>
    <x v="2"/>
    <x v="5"/>
    <x v="59"/>
  </r>
  <r>
    <s v="ORD1088"/>
    <x v="68"/>
    <s v="Vihaan"/>
    <x v="7"/>
    <x v="4"/>
    <x v="8"/>
    <n v="3"/>
    <n v="315"/>
    <x v="1"/>
    <x v="3"/>
    <x v="74"/>
  </r>
  <r>
    <s v="ORD1089"/>
    <x v="28"/>
    <s v="Vihaan"/>
    <x v="6"/>
    <x v="4"/>
    <x v="14"/>
    <n v="1"/>
    <n v="250"/>
    <x v="2"/>
    <x v="2"/>
    <x v="75"/>
  </r>
  <r>
    <s v="ORD1090"/>
    <x v="15"/>
    <s v="Aisha"/>
    <x v="0"/>
    <x v="1"/>
    <x v="28"/>
    <n v="1"/>
    <n v="94.5"/>
    <x v="1"/>
    <x v="0"/>
    <x v="76"/>
  </r>
  <r>
    <s v="ORD1091"/>
    <x v="69"/>
    <s v="Rohan"/>
    <x v="6"/>
    <x v="4"/>
    <x v="14"/>
    <n v="2"/>
    <n v="237.5"/>
    <x v="0"/>
    <x v="5"/>
    <x v="77"/>
  </r>
  <r>
    <s v="ORD1092"/>
    <x v="70"/>
    <s v="Alina"/>
    <x v="3"/>
    <x v="3"/>
    <x v="29"/>
    <n v="2"/>
    <n v="1045"/>
    <x v="2"/>
    <x v="5"/>
    <x v="78"/>
  </r>
  <r>
    <s v="ORD1093"/>
    <x v="71"/>
    <s v="Adil"/>
    <x v="6"/>
    <x v="2"/>
    <x v="20"/>
    <n v="2"/>
    <n v="1890"/>
    <x v="2"/>
    <x v="1"/>
    <x v="15"/>
  </r>
  <r>
    <s v="ORD1094"/>
    <x v="72"/>
    <s v="Kunal"/>
    <x v="5"/>
    <x v="1"/>
    <x v="28"/>
    <n v="2"/>
    <n v="99"/>
    <x v="0"/>
    <x v="1"/>
    <x v="79"/>
  </r>
  <r>
    <s v="ORD1095"/>
    <x v="73"/>
    <s v="Simran"/>
    <x v="6"/>
    <x v="3"/>
    <x v="9"/>
    <n v="4"/>
    <n v="770"/>
    <x v="3"/>
    <x v="1"/>
    <x v="80"/>
  </r>
  <r>
    <s v="ORD1096"/>
    <x v="16"/>
    <s v="Aarav"/>
    <x v="5"/>
    <x v="3"/>
    <x v="30"/>
    <n v="2"/>
    <n v="450"/>
    <x v="2"/>
    <x v="4"/>
    <x v="8"/>
  </r>
  <r>
    <s v="ORD1097"/>
    <x v="37"/>
    <s v="Yash"/>
    <x v="3"/>
    <x v="3"/>
    <x v="6"/>
    <n v="3"/>
    <n v="800"/>
    <x v="3"/>
    <x v="4"/>
    <x v="81"/>
  </r>
  <r>
    <s v="ORD1098"/>
    <x v="74"/>
    <s v="Vihaan"/>
    <x v="5"/>
    <x v="3"/>
    <x v="6"/>
    <n v="2"/>
    <n v="840"/>
    <x v="3"/>
    <x v="3"/>
    <x v="82"/>
  </r>
  <r>
    <s v="ORD1099"/>
    <x v="75"/>
    <s v="Aisha"/>
    <x v="1"/>
    <x v="0"/>
    <x v="0"/>
    <n v="5"/>
    <n v="3675"/>
    <x v="3"/>
    <x v="1"/>
    <x v="83"/>
  </r>
  <r>
    <s v="ORD1100"/>
    <x v="76"/>
    <s v="Anaya"/>
    <x v="2"/>
    <x v="3"/>
    <x v="16"/>
    <n v="1"/>
    <n v="600"/>
    <x v="0"/>
    <x v="2"/>
    <x v="46"/>
  </r>
  <r>
    <s v="ORD1101"/>
    <x v="77"/>
    <s v="Mahi"/>
    <x v="2"/>
    <x v="4"/>
    <x v="25"/>
    <n v="6"/>
    <n v="450"/>
    <x v="2"/>
    <x v="2"/>
    <x v="84"/>
  </r>
  <r>
    <s v="ORD1102"/>
    <x v="78"/>
    <s v="Kunal"/>
    <x v="0"/>
    <x v="0"/>
    <x v="17"/>
    <n v="3"/>
    <n v="285"/>
    <x v="0"/>
    <x v="3"/>
    <x v="26"/>
  </r>
  <r>
    <s v="ORD1103"/>
    <x v="50"/>
    <s v="Nisha"/>
    <x v="1"/>
    <x v="0"/>
    <x v="1"/>
    <n v="1"/>
    <n v="2500"/>
    <x v="0"/>
    <x v="4"/>
    <x v="60"/>
  </r>
  <r>
    <s v="ORD1104"/>
    <x v="46"/>
    <s v="Isha"/>
    <x v="7"/>
    <x v="4"/>
    <x v="25"/>
    <n v="3"/>
    <n v="472.5"/>
    <x v="0"/>
    <x v="3"/>
    <x v="85"/>
  </r>
  <r>
    <s v="ORD1105"/>
    <x v="79"/>
    <s v="Rohan"/>
    <x v="0"/>
    <x v="3"/>
    <x v="6"/>
    <n v="4"/>
    <n v="840"/>
    <x v="2"/>
    <x v="0"/>
    <x v="86"/>
  </r>
  <r>
    <s v="ORD1106"/>
    <x v="80"/>
    <s v="Zoya"/>
    <x v="5"/>
    <x v="1"/>
    <x v="28"/>
    <n v="2"/>
    <n v="99"/>
    <x v="2"/>
    <x v="1"/>
    <x v="79"/>
  </r>
  <r>
    <s v="ORD1107"/>
    <x v="34"/>
    <s v="Simran"/>
    <x v="6"/>
    <x v="0"/>
    <x v="17"/>
    <n v="1"/>
    <n v="300"/>
    <x v="1"/>
    <x v="4"/>
    <x v="56"/>
  </r>
  <r>
    <s v="ORD1108"/>
    <x v="81"/>
    <s v="Armaan"/>
    <x v="3"/>
    <x v="3"/>
    <x v="16"/>
    <n v="3"/>
    <n v="600"/>
    <x v="1"/>
    <x v="4"/>
    <x v="53"/>
  </r>
  <r>
    <s v="ORD1109"/>
    <x v="82"/>
    <s v="Simran"/>
    <x v="6"/>
    <x v="0"/>
    <x v="7"/>
    <n v="5"/>
    <n v="1800"/>
    <x v="3"/>
    <x v="4"/>
    <x v="87"/>
  </r>
  <r>
    <s v="ORD1110"/>
    <x v="83"/>
    <s v="Rahul"/>
    <x v="7"/>
    <x v="0"/>
    <x v="2"/>
    <n v="10"/>
    <n v="1200"/>
    <x v="0"/>
    <x v="5"/>
    <x v="88"/>
  </r>
  <r>
    <s v="ORD1111"/>
    <x v="84"/>
    <s v="Rahul"/>
    <x v="2"/>
    <x v="4"/>
    <x v="25"/>
    <n v="6"/>
    <n v="450"/>
    <x v="1"/>
    <x v="4"/>
    <x v="84"/>
  </r>
  <r>
    <s v="ORD1112"/>
    <x v="61"/>
    <s v="Hina"/>
    <x v="1"/>
    <x v="2"/>
    <x v="5"/>
    <n v="2"/>
    <n v="500"/>
    <x v="0"/>
    <x v="3"/>
    <x v="39"/>
  </r>
  <r>
    <s v="ORD1113"/>
    <x v="26"/>
    <s v="Aryan"/>
    <x v="7"/>
    <x v="4"/>
    <x v="14"/>
    <n v="2"/>
    <n v="262.5"/>
    <x v="1"/>
    <x v="4"/>
    <x v="89"/>
  </r>
  <r>
    <s v="ORD1114"/>
    <x v="44"/>
    <s v="Mahi"/>
    <x v="7"/>
    <x v="3"/>
    <x v="13"/>
    <n v="2"/>
    <n v="577.5"/>
    <x v="1"/>
    <x v="5"/>
    <x v="90"/>
  </r>
  <r>
    <s v="ORD1115"/>
    <x v="37"/>
    <s v="Kunal"/>
    <x v="3"/>
    <x v="1"/>
    <x v="28"/>
    <n v="2"/>
    <n v="99"/>
    <x v="1"/>
    <x v="4"/>
    <x v="79"/>
  </r>
  <r>
    <s v="ORD1116"/>
    <x v="85"/>
    <s v="Dev"/>
    <x v="3"/>
    <x v="3"/>
    <x v="9"/>
    <n v="3"/>
    <n v="700"/>
    <x v="3"/>
    <x v="4"/>
    <x v="25"/>
  </r>
  <r>
    <s v="ORD1117"/>
    <x v="52"/>
    <s v="Nisha"/>
    <x v="7"/>
    <x v="3"/>
    <x v="29"/>
    <n v="4"/>
    <n v="950"/>
    <x v="1"/>
    <x v="4"/>
    <x v="91"/>
  </r>
  <r>
    <s v="ORD1118"/>
    <x v="86"/>
    <s v="Yash"/>
    <x v="5"/>
    <x v="0"/>
    <x v="0"/>
    <n v="2"/>
    <n v="3325"/>
    <x v="1"/>
    <x v="0"/>
    <x v="92"/>
  </r>
  <r>
    <s v="ORD1119"/>
    <x v="87"/>
    <s v="Aisha"/>
    <x v="0"/>
    <x v="3"/>
    <x v="9"/>
    <n v="2"/>
    <n v="735"/>
    <x v="1"/>
    <x v="2"/>
    <x v="93"/>
  </r>
  <r>
    <s v="ORD1120"/>
    <x v="51"/>
    <s v="Armaan"/>
    <x v="5"/>
    <x v="5"/>
    <x v="10"/>
    <n v="1"/>
    <n v="1980"/>
    <x v="3"/>
    <x v="3"/>
    <x v="10"/>
  </r>
  <r>
    <s v="ORD1121"/>
    <x v="55"/>
    <s v="Adil"/>
    <x v="7"/>
    <x v="2"/>
    <x v="20"/>
    <n v="6"/>
    <n v="1980"/>
    <x v="2"/>
    <x v="0"/>
    <x v="94"/>
  </r>
  <r>
    <s v="ORD1122"/>
    <x v="57"/>
    <s v="Nisha"/>
    <x v="3"/>
    <x v="4"/>
    <x v="14"/>
    <n v="5"/>
    <n v="262.5"/>
    <x v="2"/>
    <x v="3"/>
    <x v="95"/>
  </r>
  <r>
    <s v="ORD1123"/>
    <x v="88"/>
    <s v="Mahi"/>
    <x v="0"/>
    <x v="5"/>
    <x v="10"/>
    <n v="2"/>
    <n v="1800"/>
    <x v="0"/>
    <x v="2"/>
    <x v="71"/>
  </r>
  <r>
    <s v="ORD1124"/>
    <x v="89"/>
    <s v="Sana"/>
    <x v="4"/>
    <x v="3"/>
    <x v="30"/>
    <n v="5"/>
    <n v="472.5"/>
    <x v="1"/>
    <x v="0"/>
    <x v="96"/>
  </r>
  <r>
    <s v="ORD1125"/>
    <x v="77"/>
    <s v="Aisha"/>
    <x v="7"/>
    <x v="5"/>
    <x v="10"/>
    <n v="10"/>
    <n v="1800"/>
    <x v="0"/>
    <x v="2"/>
    <x v="97"/>
  </r>
  <r>
    <s v="ORD1126"/>
    <x v="67"/>
    <s v="Anaya"/>
    <x v="3"/>
    <x v="2"/>
    <x v="20"/>
    <n v="5"/>
    <n v="1890"/>
    <x v="3"/>
    <x v="0"/>
    <x v="63"/>
  </r>
  <r>
    <s v="ORD1127"/>
    <x v="90"/>
    <s v="Rohan"/>
    <x v="3"/>
    <x v="5"/>
    <x v="21"/>
    <n v="5"/>
    <n v="900"/>
    <x v="2"/>
    <x v="3"/>
    <x v="98"/>
  </r>
  <r>
    <s v="ORD1128"/>
    <x v="91"/>
    <s v="Mahi"/>
    <x v="2"/>
    <x v="5"/>
    <x v="12"/>
    <n v="3"/>
    <n v="700"/>
    <x v="2"/>
    <x v="0"/>
    <x v="25"/>
  </r>
  <r>
    <s v="ORD1129"/>
    <x v="92"/>
    <s v="Yash"/>
    <x v="6"/>
    <x v="0"/>
    <x v="7"/>
    <n v="3"/>
    <n v="1800"/>
    <x v="0"/>
    <x v="0"/>
    <x v="7"/>
  </r>
  <r>
    <s v="ORD1130"/>
    <x v="93"/>
    <s v="Dev"/>
    <x v="5"/>
    <x v="5"/>
    <x v="15"/>
    <n v="8"/>
    <n v="1140"/>
    <x v="2"/>
    <x v="4"/>
    <x v="99"/>
  </r>
  <r>
    <s v="ORD1131"/>
    <x v="45"/>
    <s v="Alina"/>
    <x v="4"/>
    <x v="2"/>
    <x v="11"/>
    <n v="4"/>
    <n v="6500"/>
    <x v="1"/>
    <x v="1"/>
    <x v="100"/>
  </r>
  <r>
    <s v="ORD1132"/>
    <x v="68"/>
    <s v="Meera"/>
    <x v="5"/>
    <x v="5"/>
    <x v="21"/>
    <n v="3"/>
    <n v="900"/>
    <x v="3"/>
    <x v="2"/>
    <x v="84"/>
  </r>
  <r>
    <s v="ORD1133"/>
    <x v="77"/>
    <s v="Imran"/>
    <x v="0"/>
    <x v="3"/>
    <x v="29"/>
    <n v="2"/>
    <n v="1045"/>
    <x v="1"/>
    <x v="0"/>
    <x v="78"/>
  </r>
  <r>
    <s v="ORD1134"/>
    <x v="94"/>
    <s v="Sameer"/>
    <x v="3"/>
    <x v="4"/>
    <x v="8"/>
    <n v="1"/>
    <n v="285"/>
    <x v="2"/>
    <x v="0"/>
    <x v="24"/>
  </r>
  <r>
    <s v="ORD1135"/>
    <x v="95"/>
    <s v="Rahul"/>
    <x v="6"/>
    <x v="1"/>
    <x v="31"/>
    <n v="1"/>
    <n v="200"/>
    <x v="1"/>
    <x v="0"/>
    <x v="101"/>
  </r>
  <r>
    <s v="ORD1136"/>
    <x v="96"/>
    <s v="Rehan"/>
    <x v="3"/>
    <x v="4"/>
    <x v="8"/>
    <n v="5"/>
    <n v="300"/>
    <x v="3"/>
    <x v="1"/>
    <x v="102"/>
  </r>
  <r>
    <s v="ORD1137"/>
    <x v="77"/>
    <s v="Aarav"/>
    <x v="2"/>
    <x v="2"/>
    <x v="5"/>
    <n v="3"/>
    <n v="500"/>
    <x v="2"/>
    <x v="4"/>
    <x v="102"/>
  </r>
  <r>
    <s v="ORD1138"/>
    <x v="97"/>
    <s v="Aryan"/>
    <x v="6"/>
    <x v="0"/>
    <x v="17"/>
    <n v="6"/>
    <n v="315"/>
    <x v="0"/>
    <x v="2"/>
    <x v="61"/>
  </r>
  <r>
    <s v="ORD1139"/>
    <x v="98"/>
    <s v="Adil"/>
    <x v="5"/>
    <x v="3"/>
    <x v="30"/>
    <n v="3"/>
    <n v="495"/>
    <x v="3"/>
    <x v="0"/>
    <x v="103"/>
  </r>
  <r>
    <s v="ORD1140"/>
    <x v="99"/>
    <s v="Sana"/>
    <x v="4"/>
    <x v="0"/>
    <x v="7"/>
    <n v="2"/>
    <n v="1890"/>
    <x v="0"/>
    <x v="4"/>
    <x v="15"/>
  </r>
  <r>
    <s v="ORD1141"/>
    <x v="16"/>
    <s v="Kabir"/>
    <x v="5"/>
    <x v="2"/>
    <x v="11"/>
    <n v="4"/>
    <n v="6500"/>
    <x v="2"/>
    <x v="2"/>
    <x v="100"/>
  </r>
  <r>
    <s v="ORD1142"/>
    <x v="100"/>
    <s v="Diya"/>
    <x v="3"/>
    <x v="3"/>
    <x v="9"/>
    <n v="5"/>
    <n v="700"/>
    <x v="2"/>
    <x v="0"/>
    <x v="0"/>
  </r>
  <r>
    <s v="ORD1143"/>
    <x v="27"/>
    <s v="Imran"/>
    <x v="0"/>
    <x v="0"/>
    <x v="0"/>
    <n v="2"/>
    <n v="3325"/>
    <x v="1"/>
    <x v="2"/>
    <x v="92"/>
  </r>
  <r>
    <s v="ORD1144"/>
    <x v="101"/>
    <s v="Adil"/>
    <x v="1"/>
    <x v="0"/>
    <x v="1"/>
    <n v="4"/>
    <n v="2375"/>
    <x v="1"/>
    <x v="3"/>
    <x v="104"/>
  </r>
  <r>
    <s v="ORD1145"/>
    <x v="102"/>
    <s v="Anaya"/>
    <x v="0"/>
    <x v="3"/>
    <x v="13"/>
    <n v="3"/>
    <n v="550"/>
    <x v="1"/>
    <x v="4"/>
    <x v="105"/>
  </r>
  <r>
    <s v="ORD1146"/>
    <x v="78"/>
    <s v="Yash"/>
    <x v="1"/>
    <x v="2"/>
    <x v="11"/>
    <n v="6"/>
    <n v="6500"/>
    <x v="1"/>
    <x v="0"/>
    <x v="106"/>
  </r>
  <r>
    <s v="ORD1147"/>
    <x v="64"/>
    <s v="Sana"/>
    <x v="6"/>
    <x v="5"/>
    <x v="21"/>
    <n v="1"/>
    <n v="855"/>
    <x v="1"/>
    <x v="4"/>
    <x v="26"/>
  </r>
  <r>
    <s v="ORD1148"/>
    <x v="103"/>
    <s v="Rehan"/>
    <x v="3"/>
    <x v="3"/>
    <x v="29"/>
    <n v="5"/>
    <n v="950"/>
    <x v="2"/>
    <x v="0"/>
    <x v="107"/>
  </r>
  <r>
    <s v="ORD1149"/>
    <x v="54"/>
    <s v="Sameer"/>
    <x v="2"/>
    <x v="5"/>
    <x v="21"/>
    <n v="3"/>
    <n v="900"/>
    <x v="3"/>
    <x v="5"/>
    <x v="84"/>
  </r>
  <r>
    <s v="ORD1150"/>
    <x v="104"/>
    <s v="Sana"/>
    <x v="4"/>
    <x v="5"/>
    <x v="21"/>
    <n v="6"/>
    <n v="900"/>
    <x v="0"/>
    <x v="5"/>
    <x v="7"/>
  </r>
  <r>
    <s v="ORD1151"/>
    <x v="49"/>
    <s v="Hina"/>
    <x v="4"/>
    <x v="3"/>
    <x v="29"/>
    <n v="5"/>
    <n v="902.5"/>
    <x v="2"/>
    <x v="4"/>
    <x v="108"/>
  </r>
  <r>
    <s v="ORD1152"/>
    <x v="105"/>
    <s v="Mahi"/>
    <x v="3"/>
    <x v="3"/>
    <x v="9"/>
    <n v="1"/>
    <n v="665"/>
    <x v="3"/>
    <x v="0"/>
    <x v="45"/>
  </r>
  <r>
    <s v="ORD1153"/>
    <x v="30"/>
    <s v="Zoya"/>
    <x v="5"/>
    <x v="0"/>
    <x v="2"/>
    <n v="1"/>
    <n v="1200"/>
    <x v="0"/>
    <x v="4"/>
    <x v="109"/>
  </r>
  <r>
    <s v="ORD1154"/>
    <x v="88"/>
    <s v="Vihaan"/>
    <x v="5"/>
    <x v="1"/>
    <x v="4"/>
    <n v="3"/>
    <n v="250"/>
    <x v="3"/>
    <x v="3"/>
    <x v="110"/>
  </r>
  <r>
    <s v="ORD1155"/>
    <x v="51"/>
    <s v="Anaya"/>
    <x v="7"/>
    <x v="1"/>
    <x v="18"/>
    <n v="3"/>
    <n v="120"/>
    <x v="0"/>
    <x v="4"/>
    <x v="111"/>
  </r>
  <r>
    <s v="ORD1156"/>
    <x v="5"/>
    <s v="Meera"/>
    <x v="6"/>
    <x v="3"/>
    <x v="29"/>
    <n v="3"/>
    <n v="902.5"/>
    <x v="3"/>
    <x v="1"/>
    <x v="112"/>
  </r>
  <r>
    <s v="ORD1157"/>
    <x v="106"/>
    <s v="Dev"/>
    <x v="4"/>
    <x v="0"/>
    <x v="0"/>
    <n v="4"/>
    <n v="3675"/>
    <x v="3"/>
    <x v="5"/>
    <x v="113"/>
  </r>
  <r>
    <s v="ORD1158"/>
    <x v="100"/>
    <s v="Riya"/>
    <x v="6"/>
    <x v="3"/>
    <x v="30"/>
    <n v="6"/>
    <n v="427.5"/>
    <x v="1"/>
    <x v="0"/>
    <x v="114"/>
  </r>
  <r>
    <s v="ORD1159"/>
    <x v="107"/>
    <s v="Tara"/>
    <x v="1"/>
    <x v="0"/>
    <x v="17"/>
    <n v="10"/>
    <n v="315"/>
    <x v="1"/>
    <x v="0"/>
    <x v="115"/>
  </r>
  <r>
    <s v="ORD1160"/>
    <x v="49"/>
    <s v="Simran"/>
    <x v="5"/>
    <x v="0"/>
    <x v="24"/>
    <n v="5"/>
    <n v="1400"/>
    <x v="3"/>
    <x v="1"/>
    <x v="116"/>
  </r>
  <r>
    <s v="ORD1161"/>
    <x v="108"/>
    <s v="Armaan"/>
    <x v="6"/>
    <x v="2"/>
    <x v="11"/>
    <n v="2"/>
    <n v="7150"/>
    <x v="1"/>
    <x v="2"/>
    <x v="117"/>
  </r>
  <r>
    <s v="ORD1162"/>
    <x v="36"/>
    <s v="Mahi"/>
    <x v="0"/>
    <x v="5"/>
    <x v="15"/>
    <n v="1"/>
    <n v="1140"/>
    <x v="1"/>
    <x v="5"/>
    <x v="17"/>
  </r>
  <r>
    <s v="ORD1163"/>
    <x v="83"/>
    <s v="Rehan"/>
    <x v="2"/>
    <x v="5"/>
    <x v="21"/>
    <n v="2"/>
    <n v="945"/>
    <x v="3"/>
    <x v="3"/>
    <x v="61"/>
  </r>
  <r>
    <s v="ORD1164"/>
    <x v="60"/>
    <s v="Imran"/>
    <x v="3"/>
    <x v="2"/>
    <x v="11"/>
    <n v="3"/>
    <n v="6500"/>
    <x v="3"/>
    <x v="4"/>
    <x v="118"/>
  </r>
  <r>
    <s v="ORD1165"/>
    <x v="109"/>
    <s v="Saba"/>
    <x v="5"/>
    <x v="0"/>
    <x v="1"/>
    <n v="2"/>
    <n v="2500"/>
    <x v="3"/>
    <x v="2"/>
    <x v="119"/>
  </r>
  <r>
    <s v="ORD1166"/>
    <x v="12"/>
    <s v="Alina"/>
    <x v="2"/>
    <x v="2"/>
    <x v="20"/>
    <n v="3"/>
    <n v="1890"/>
    <x v="3"/>
    <x v="3"/>
    <x v="33"/>
  </r>
  <r>
    <s v="ORD1167"/>
    <x v="82"/>
    <s v="Armaan"/>
    <x v="0"/>
    <x v="3"/>
    <x v="16"/>
    <n v="2"/>
    <n v="660"/>
    <x v="0"/>
    <x v="0"/>
    <x v="48"/>
  </r>
  <r>
    <s v="ORD1168"/>
    <x v="73"/>
    <s v="Mahi"/>
    <x v="4"/>
    <x v="3"/>
    <x v="30"/>
    <n v="5"/>
    <n v="450"/>
    <x v="3"/>
    <x v="3"/>
    <x v="37"/>
  </r>
  <r>
    <s v="ORD1169"/>
    <x v="74"/>
    <s v="Kunal"/>
    <x v="7"/>
    <x v="3"/>
    <x v="30"/>
    <n v="4"/>
    <n v="495"/>
    <x v="2"/>
    <x v="4"/>
    <x v="10"/>
  </r>
  <r>
    <s v="ORD1170"/>
    <x v="28"/>
    <s v="Diya"/>
    <x v="4"/>
    <x v="3"/>
    <x v="9"/>
    <n v="4"/>
    <n v="700"/>
    <x v="2"/>
    <x v="4"/>
    <x v="120"/>
  </r>
  <r>
    <s v="ORD1171"/>
    <x v="28"/>
    <s v="Rohan"/>
    <x v="5"/>
    <x v="1"/>
    <x v="26"/>
    <n v="3"/>
    <n v="84"/>
    <x v="3"/>
    <x v="4"/>
    <x v="121"/>
  </r>
  <r>
    <s v="ORD1172"/>
    <x v="110"/>
    <s v="Vihaan"/>
    <x v="5"/>
    <x v="1"/>
    <x v="4"/>
    <n v="2"/>
    <n v="262.5"/>
    <x v="2"/>
    <x v="3"/>
    <x v="89"/>
  </r>
  <r>
    <s v="ORD1173"/>
    <x v="111"/>
    <s v="Meera"/>
    <x v="7"/>
    <x v="0"/>
    <x v="1"/>
    <n v="5"/>
    <n v="2500"/>
    <x v="3"/>
    <x v="3"/>
    <x v="122"/>
  </r>
  <r>
    <s v="ORD1174"/>
    <x v="49"/>
    <s v="Tara"/>
    <x v="6"/>
    <x v="5"/>
    <x v="15"/>
    <n v="2"/>
    <n v="1260"/>
    <x v="0"/>
    <x v="2"/>
    <x v="64"/>
  </r>
  <r>
    <s v="ORD1175"/>
    <x v="43"/>
    <s v="Hina"/>
    <x v="3"/>
    <x v="2"/>
    <x v="5"/>
    <n v="2"/>
    <n v="500"/>
    <x v="2"/>
    <x v="4"/>
    <x v="39"/>
  </r>
  <r>
    <s v="ORD1176"/>
    <x v="112"/>
    <s v="Aarav"/>
    <x v="0"/>
    <x v="5"/>
    <x v="12"/>
    <n v="10"/>
    <n v="665"/>
    <x v="2"/>
    <x v="1"/>
    <x v="92"/>
  </r>
  <r>
    <s v="ORD1177"/>
    <x v="13"/>
    <s v="Aarav"/>
    <x v="3"/>
    <x v="3"/>
    <x v="13"/>
    <n v="2"/>
    <n v="522.5"/>
    <x v="1"/>
    <x v="1"/>
    <x v="123"/>
  </r>
  <r>
    <s v="ORD1178"/>
    <x v="113"/>
    <s v="Armaan"/>
    <x v="4"/>
    <x v="5"/>
    <x v="10"/>
    <n v="3"/>
    <n v="1800"/>
    <x v="3"/>
    <x v="5"/>
    <x v="7"/>
  </r>
  <r>
    <s v="ORD1179"/>
    <x v="39"/>
    <s v="Mahi"/>
    <x v="4"/>
    <x v="5"/>
    <x v="15"/>
    <n v="1"/>
    <n v="1140"/>
    <x v="1"/>
    <x v="2"/>
    <x v="17"/>
  </r>
  <r>
    <s v="ORD1180"/>
    <x v="114"/>
    <s v="Aarav"/>
    <x v="4"/>
    <x v="5"/>
    <x v="21"/>
    <n v="2"/>
    <n v="945"/>
    <x v="0"/>
    <x v="2"/>
    <x v="61"/>
  </r>
  <r>
    <s v="ORD1181"/>
    <x v="115"/>
    <s v="Zoya"/>
    <x v="2"/>
    <x v="2"/>
    <x v="19"/>
    <n v="1"/>
    <n v="3990"/>
    <x v="1"/>
    <x v="2"/>
    <x v="124"/>
  </r>
  <r>
    <s v="ORD1182"/>
    <x v="6"/>
    <s v="Zoya"/>
    <x v="4"/>
    <x v="5"/>
    <x v="12"/>
    <n v="5"/>
    <n v="700"/>
    <x v="0"/>
    <x v="4"/>
    <x v="0"/>
  </r>
  <r>
    <s v="ORD1183"/>
    <x v="116"/>
    <s v="Sameer"/>
    <x v="4"/>
    <x v="0"/>
    <x v="0"/>
    <n v="3"/>
    <n v="3500"/>
    <x v="2"/>
    <x v="0"/>
    <x v="125"/>
  </r>
  <r>
    <s v="ORD1184"/>
    <x v="99"/>
    <s v="Adil"/>
    <x v="0"/>
    <x v="1"/>
    <x v="26"/>
    <n v="1"/>
    <n v="80"/>
    <x v="0"/>
    <x v="2"/>
    <x v="126"/>
  </r>
  <r>
    <s v="ORD1185"/>
    <x v="4"/>
    <s v="Dev"/>
    <x v="3"/>
    <x v="0"/>
    <x v="24"/>
    <n v="1"/>
    <n v="1470"/>
    <x v="2"/>
    <x v="0"/>
    <x v="93"/>
  </r>
  <r>
    <s v="ORD1186"/>
    <x v="44"/>
    <s v="Dev"/>
    <x v="6"/>
    <x v="1"/>
    <x v="26"/>
    <n v="2"/>
    <n v="84"/>
    <x v="2"/>
    <x v="2"/>
    <x v="127"/>
  </r>
  <r>
    <s v="ORD1187"/>
    <x v="117"/>
    <s v="Dev"/>
    <x v="3"/>
    <x v="2"/>
    <x v="5"/>
    <n v="2"/>
    <n v="500"/>
    <x v="3"/>
    <x v="4"/>
    <x v="39"/>
  </r>
  <r>
    <s v="ORD1188"/>
    <x v="118"/>
    <s v="Simran"/>
    <x v="2"/>
    <x v="3"/>
    <x v="6"/>
    <n v="1"/>
    <n v="760"/>
    <x v="1"/>
    <x v="2"/>
    <x v="128"/>
  </r>
  <r>
    <s v="ORD1189"/>
    <x v="88"/>
    <s v="Yash"/>
    <x v="0"/>
    <x v="0"/>
    <x v="7"/>
    <n v="2"/>
    <n v="1980"/>
    <x v="2"/>
    <x v="2"/>
    <x v="2"/>
  </r>
  <r>
    <s v="ORD1190"/>
    <x v="25"/>
    <s v="Anaya"/>
    <x v="4"/>
    <x v="1"/>
    <x v="26"/>
    <n v="8"/>
    <n v="84"/>
    <x v="3"/>
    <x v="2"/>
    <x v="129"/>
  </r>
  <r>
    <s v="ORD1191"/>
    <x v="99"/>
    <s v="Dev"/>
    <x v="5"/>
    <x v="1"/>
    <x v="27"/>
    <n v="1"/>
    <n v="157.5"/>
    <x v="2"/>
    <x v="3"/>
    <x v="130"/>
  </r>
  <r>
    <s v="ORD1192"/>
    <x v="119"/>
    <s v="Hina"/>
    <x v="7"/>
    <x v="5"/>
    <x v="10"/>
    <n v="2"/>
    <n v="1800"/>
    <x v="2"/>
    <x v="4"/>
    <x v="71"/>
  </r>
  <r>
    <s v="ORD1193"/>
    <x v="42"/>
    <s v="Isha"/>
    <x v="6"/>
    <x v="0"/>
    <x v="22"/>
    <n v="3"/>
    <n v="2310"/>
    <x v="0"/>
    <x v="3"/>
    <x v="131"/>
  </r>
  <r>
    <s v="ORD1194"/>
    <x v="6"/>
    <s v="Yash"/>
    <x v="2"/>
    <x v="1"/>
    <x v="26"/>
    <n v="6"/>
    <n v="80"/>
    <x v="0"/>
    <x v="2"/>
    <x v="132"/>
  </r>
  <r>
    <s v="ORD1195"/>
    <x v="23"/>
    <s v="Yash"/>
    <x v="4"/>
    <x v="0"/>
    <x v="1"/>
    <n v="2"/>
    <n v="2625"/>
    <x v="0"/>
    <x v="0"/>
    <x v="133"/>
  </r>
  <r>
    <s v="ORD1196"/>
    <x v="120"/>
    <s v="Armaan"/>
    <x v="4"/>
    <x v="0"/>
    <x v="1"/>
    <n v="3"/>
    <n v="2625"/>
    <x v="3"/>
    <x v="3"/>
    <x v="134"/>
  </r>
  <r>
    <s v="ORD1197"/>
    <x v="121"/>
    <s v="Kunal"/>
    <x v="3"/>
    <x v="1"/>
    <x v="27"/>
    <n v="8"/>
    <n v="150"/>
    <x v="0"/>
    <x v="1"/>
    <x v="109"/>
  </r>
  <r>
    <s v="ORD1198"/>
    <x v="13"/>
    <s v="Armaan"/>
    <x v="7"/>
    <x v="1"/>
    <x v="26"/>
    <n v="1"/>
    <n v="76"/>
    <x v="2"/>
    <x v="2"/>
    <x v="135"/>
  </r>
  <r>
    <s v="ORD1199"/>
    <x v="113"/>
    <s v="Aryan"/>
    <x v="5"/>
    <x v="5"/>
    <x v="10"/>
    <n v="1"/>
    <n v="1800"/>
    <x v="1"/>
    <x v="4"/>
    <x v="53"/>
  </r>
  <r>
    <s v="ORD1200"/>
    <x v="26"/>
    <s v="Dev"/>
    <x v="6"/>
    <x v="2"/>
    <x v="19"/>
    <n v="3"/>
    <n v="4200"/>
    <x v="1"/>
    <x v="1"/>
    <x v="136"/>
  </r>
  <r>
    <s v="ORD1201"/>
    <x v="20"/>
    <s v="Sameer"/>
    <x v="0"/>
    <x v="3"/>
    <x v="29"/>
    <n v="2"/>
    <n v="997.5"/>
    <x v="2"/>
    <x v="0"/>
    <x v="137"/>
  </r>
  <r>
    <s v="ORD1202"/>
    <x v="74"/>
    <s v="Kunal"/>
    <x v="2"/>
    <x v="4"/>
    <x v="25"/>
    <n v="2"/>
    <n v="450"/>
    <x v="1"/>
    <x v="1"/>
    <x v="8"/>
  </r>
  <r>
    <s v="ORD1203"/>
    <x v="41"/>
    <s v="Yash"/>
    <x v="3"/>
    <x v="1"/>
    <x v="18"/>
    <n v="5"/>
    <n v="114"/>
    <x v="2"/>
    <x v="2"/>
    <x v="138"/>
  </r>
  <r>
    <s v="ORD1204"/>
    <x v="1"/>
    <s v="Adil"/>
    <x v="3"/>
    <x v="0"/>
    <x v="0"/>
    <n v="2"/>
    <n v="3500"/>
    <x v="0"/>
    <x v="5"/>
    <x v="116"/>
  </r>
  <r>
    <s v="ORD1205"/>
    <x v="93"/>
    <s v="Diya"/>
    <x v="7"/>
    <x v="3"/>
    <x v="30"/>
    <n v="4"/>
    <n v="450"/>
    <x v="1"/>
    <x v="4"/>
    <x v="53"/>
  </r>
  <r>
    <s v="ORD1206"/>
    <x v="105"/>
    <s v="Alina"/>
    <x v="0"/>
    <x v="2"/>
    <x v="19"/>
    <n v="1"/>
    <n v="3990"/>
    <x v="3"/>
    <x v="3"/>
    <x v="124"/>
  </r>
  <r>
    <s v="ORD1207"/>
    <x v="122"/>
    <s v="Sana"/>
    <x v="6"/>
    <x v="2"/>
    <x v="20"/>
    <n v="4"/>
    <n v="1800"/>
    <x v="1"/>
    <x v="0"/>
    <x v="68"/>
  </r>
  <r>
    <s v="ORD1208"/>
    <x v="13"/>
    <s v="Sameer"/>
    <x v="1"/>
    <x v="4"/>
    <x v="23"/>
    <n v="2"/>
    <n v="807.5"/>
    <x v="3"/>
    <x v="3"/>
    <x v="139"/>
  </r>
  <r>
    <s v="ORD1209"/>
    <x v="123"/>
    <s v="Armaan"/>
    <x v="2"/>
    <x v="1"/>
    <x v="26"/>
    <n v="3"/>
    <n v="88"/>
    <x v="3"/>
    <x v="3"/>
    <x v="140"/>
  </r>
  <r>
    <s v="ORD1210"/>
    <x v="24"/>
    <s v="Tara"/>
    <x v="3"/>
    <x v="3"/>
    <x v="16"/>
    <n v="1"/>
    <n v="600"/>
    <x v="3"/>
    <x v="4"/>
    <x v="46"/>
  </r>
  <r>
    <s v="ORD1211"/>
    <x v="11"/>
    <s v="Zoya"/>
    <x v="5"/>
    <x v="0"/>
    <x v="2"/>
    <n v="3"/>
    <n v="1320"/>
    <x v="2"/>
    <x v="5"/>
    <x v="2"/>
  </r>
  <r>
    <s v="ORD1212"/>
    <x v="48"/>
    <s v="Meera"/>
    <x v="1"/>
    <x v="2"/>
    <x v="5"/>
    <n v="1"/>
    <n v="525"/>
    <x v="2"/>
    <x v="4"/>
    <x v="89"/>
  </r>
  <r>
    <s v="ORD1213"/>
    <x v="124"/>
    <s v="Sana"/>
    <x v="2"/>
    <x v="0"/>
    <x v="2"/>
    <n v="2"/>
    <n v="1260"/>
    <x v="2"/>
    <x v="3"/>
    <x v="64"/>
  </r>
  <r>
    <s v="ORD1214"/>
    <x v="125"/>
    <s v="Zoya"/>
    <x v="1"/>
    <x v="2"/>
    <x v="5"/>
    <n v="4"/>
    <n v="500"/>
    <x v="2"/>
    <x v="1"/>
    <x v="4"/>
  </r>
  <r>
    <s v="ORD1215"/>
    <x v="45"/>
    <s v="Aryan"/>
    <x v="3"/>
    <x v="2"/>
    <x v="5"/>
    <n v="3"/>
    <n v="500"/>
    <x v="1"/>
    <x v="0"/>
    <x v="102"/>
  </r>
  <r>
    <s v="ORD1216"/>
    <x v="28"/>
    <s v="Sana"/>
    <x v="6"/>
    <x v="1"/>
    <x v="18"/>
    <n v="1"/>
    <n v="126"/>
    <x v="0"/>
    <x v="4"/>
    <x v="21"/>
  </r>
  <r>
    <s v="ORD1217"/>
    <x v="41"/>
    <s v="Armaan"/>
    <x v="2"/>
    <x v="0"/>
    <x v="7"/>
    <n v="2"/>
    <n v="1800"/>
    <x v="1"/>
    <x v="3"/>
    <x v="71"/>
  </r>
  <r>
    <s v="ORD1218"/>
    <x v="126"/>
    <s v="Mahi"/>
    <x v="4"/>
    <x v="1"/>
    <x v="28"/>
    <n v="2"/>
    <n v="85.5"/>
    <x v="2"/>
    <x v="4"/>
    <x v="141"/>
  </r>
  <r>
    <s v="ORD1219"/>
    <x v="118"/>
    <s v="Sameer"/>
    <x v="2"/>
    <x v="5"/>
    <x v="15"/>
    <n v="5"/>
    <n v="1260"/>
    <x v="2"/>
    <x v="1"/>
    <x v="142"/>
  </r>
  <r>
    <s v="ORD1220"/>
    <x v="11"/>
    <s v="Adil"/>
    <x v="1"/>
    <x v="4"/>
    <x v="14"/>
    <n v="2"/>
    <n v="275"/>
    <x v="1"/>
    <x v="4"/>
    <x v="47"/>
  </r>
  <r>
    <s v="ORD1221"/>
    <x v="65"/>
    <s v="Anaya"/>
    <x v="1"/>
    <x v="1"/>
    <x v="27"/>
    <n v="3"/>
    <n v="150"/>
    <x v="2"/>
    <x v="0"/>
    <x v="58"/>
  </r>
  <r>
    <s v="ORD1222"/>
    <x v="16"/>
    <s v="Meera"/>
    <x v="3"/>
    <x v="3"/>
    <x v="16"/>
    <n v="2"/>
    <n v="630"/>
    <x v="2"/>
    <x v="5"/>
    <x v="51"/>
  </r>
  <r>
    <s v="ORD1223"/>
    <x v="39"/>
    <s v="Adil"/>
    <x v="7"/>
    <x v="2"/>
    <x v="5"/>
    <n v="3"/>
    <n v="525"/>
    <x v="3"/>
    <x v="0"/>
    <x v="143"/>
  </r>
  <r>
    <s v="ORD1224"/>
    <x v="0"/>
    <s v="Aarav"/>
    <x v="5"/>
    <x v="5"/>
    <x v="12"/>
    <n v="2"/>
    <n v="700"/>
    <x v="1"/>
    <x v="4"/>
    <x v="59"/>
  </r>
  <r>
    <s v="ORD1225"/>
    <x v="59"/>
    <s v="Alina"/>
    <x v="2"/>
    <x v="0"/>
    <x v="24"/>
    <n v="1"/>
    <n v="1400"/>
    <x v="3"/>
    <x v="2"/>
    <x v="59"/>
  </r>
  <r>
    <s v="ORD1226"/>
    <x v="4"/>
    <s v="Dev"/>
    <x v="1"/>
    <x v="4"/>
    <x v="25"/>
    <n v="6"/>
    <n v="450"/>
    <x v="0"/>
    <x v="2"/>
    <x v="84"/>
  </r>
  <r>
    <s v="ORD1227"/>
    <x v="101"/>
    <s v="Zoya"/>
    <x v="1"/>
    <x v="5"/>
    <x v="12"/>
    <n v="2"/>
    <n v="700"/>
    <x v="3"/>
    <x v="0"/>
    <x v="59"/>
  </r>
  <r>
    <s v="ORD1228"/>
    <x v="127"/>
    <s v="Anaya"/>
    <x v="6"/>
    <x v="4"/>
    <x v="14"/>
    <n v="2"/>
    <n v="275"/>
    <x v="2"/>
    <x v="0"/>
    <x v="47"/>
  </r>
  <r>
    <s v="ORD1229"/>
    <x v="128"/>
    <s v="Farhan"/>
    <x v="3"/>
    <x v="1"/>
    <x v="4"/>
    <n v="10"/>
    <n v="250"/>
    <x v="0"/>
    <x v="4"/>
    <x v="60"/>
  </r>
  <r>
    <s v="ORD1230"/>
    <x v="129"/>
    <s v="Rohan"/>
    <x v="4"/>
    <x v="0"/>
    <x v="24"/>
    <n v="2"/>
    <n v="1470"/>
    <x v="2"/>
    <x v="0"/>
    <x v="144"/>
  </r>
  <r>
    <s v="ORD1231"/>
    <x v="22"/>
    <s v="Farhan"/>
    <x v="5"/>
    <x v="3"/>
    <x v="6"/>
    <n v="5"/>
    <n v="800"/>
    <x v="2"/>
    <x v="2"/>
    <x v="145"/>
  </r>
  <r>
    <s v="ORD1232"/>
    <x v="86"/>
    <s v="Zoya"/>
    <x v="3"/>
    <x v="0"/>
    <x v="0"/>
    <n v="10"/>
    <n v="3500"/>
    <x v="3"/>
    <x v="3"/>
    <x v="146"/>
  </r>
  <r>
    <s v="ORD1233"/>
    <x v="88"/>
    <s v="Imran"/>
    <x v="1"/>
    <x v="2"/>
    <x v="19"/>
    <n v="2"/>
    <n v="4620"/>
    <x v="3"/>
    <x v="3"/>
    <x v="23"/>
  </r>
  <r>
    <s v="ORD1234"/>
    <x v="105"/>
    <s v="Aryan"/>
    <x v="1"/>
    <x v="4"/>
    <x v="23"/>
    <n v="3"/>
    <n v="892.5"/>
    <x v="0"/>
    <x v="3"/>
    <x v="147"/>
  </r>
  <r>
    <s v="ORD1235"/>
    <x v="130"/>
    <s v="Alina"/>
    <x v="5"/>
    <x v="0"/>
    <x v="24"/>
    <n v="2"/>
    <n v="1540"/>
    <x v="0"/>
    <x v="1"/>
    <x v="80"/>
  </r>
  <r>
    <s v="ORD1236"/>
    <x v="65"/>
    <s v="Imran"/>
    <x v="6"/>
    <x v="0"/>
    <x v="17"/>
    <n v="5"/>
    <n v="330"/>
    <x v="0"/>
    <x v="1"/>
    <x v="105"/>
  </r>
  <r>
    <s v="ORD1237"/>
    <x v="131"/>
    <s v="Sameer"/>
    <x v="6"/>
    <x v="3"/>
    <x v="30"/>
    <n v="2"/>
    <n v="495"/>
    <x v="3"/>
    <x v="3"/>
    <x v="148"/>
  </r>
  <r>
    <s v="ORD1238"/>
    <x v="132"/>
    <s v="Simran"/>
    <x v="1"/>
    <x v="3"/>
    <x v="9"/>
    <n v="1"/>
    <n v="700"/>
    <x v="0"/>
    <x v="2"/>
    <x v="149"/>
  </r>
  <r>
    <s v="ORD1239"/>
    <x v="133"/>
    <s v="Riya"/>
    <x v="4"/>
    <x v="1"/>
    <x v="26"/>
    <n v="1"/>
    <n v="88"/>
    <x v="3"/>
    <x v="4"/>
    <x v="150"/>
  </r>
  <r>
    <s v="ORD1240"/>
    <x v="6"/>
    <s v="Adil"/>
    <x v="0"/>
    <x v="0"/>
    <x v="7"/>
    <n v="6"/>
    <n v="1980"/>
    <x v="1"/>
    <x v="2"/>
    <x v="94"/>
  </r>
  <r>
    <s v="ORD1241"/>
    <x v="0"/>
    <s v="Isha"/>
    <x v="6"/>
    <x v="0"/>
    <x v="2"/>
    <n v="2"/>
    <n v="1320"/>
    <x v="1"/>
    <x v="1"/>
    <x v="151"/>
  </r>
  <r>
    <s v="ORD1242"/>
    <x v="134"/>
    <s v="Farhan"/>
    <x v="7"/>
    <x v="5"/>
    <x v="12"/>
    <n v="2"/>
    <n v="665"/>
    <x v="0"/>
    <x v="5"/>
    <x v="28"/>
  </r>
  <r>
    <s v="ORD1243"/>
    <x v="55"/>
    <s v="Simran"/>
    <x v="5"/>
    <x v="4"/>
    <x v="23"/>
    <n v="2"/>
    <n v="850"/>
    <x v="2"/>
    <x v="0"/>
    <x v="152"/>
  </r>
  <r>
    <s v="ORD1244"/>
    <x v="135"/>
    <s v="Kunal"/>
    <x v="4"/>
    <x v="2"/>
    <x v="5"/>
    <n v="8"/>
    <n v="500"/>
    <x v="3"/>
    <x v="3"/>
    <x v="145"/>
  </r>
  <r>
    <s v="ORD1245"/>
    <x v="19"/>
    <s v="Zoya"/>
    <x v="5"/>
    <x v="4"/>
    <x v="8"/>
    <n v="1"/>
    <n v="315"/>
    <x v="3"/>
    <x v="4"/>
    <x v="153"/>
  </r>
  <r>
    <s v="ORD1246"/>
    <x v="87"/>
    <s v="Zoya"/>
    <x v="5"/>
    <x v="5"/>
    <x v="10"/>
    <n v="5"/>
    <n v="1890"/>
    <x v="2"/>
    <x v="2"/>
    <x v="63"/>
  </r>
  <r>
    <s v="ORD1247"/>
    <x v="44"/>
    <s v="Armaan"/>
    <x v="3"/>
    <x v="1"/>
    <x v="28"/>
    <n v="4"/>
    <n v="94.5"/>
    <x v="1"/>
    <x v="3"/>
    <x v="54"/>
  </r>
  <r>
    <s v="ORD1248"/>
    <x v="11"/>
    <s v="Armaan"/>
    <x v="3"/>
    <x v="0"/>
    <x v="2"/>
    <n v="1"/>
    <n v="1260"/>
    <x v="0"/>
    <x v="1"/>
    <x v="51"/>
  </r>
  <r>
    <s v="ORD1249"/>
    <x v="136"/>
    <s v="Aisha"/>
    <x v="3"/>
    <x v="2"/>
    <x v="5"/>
    <n v="1"/>
    <n v="500"/>
    <x v="2"/>
    <x v="2"/>
    <x v="52"/>
  </r>
  <r>
    <s v="ORD1250"/>
    <x v="15"/>
    <s v="Riya"/>
    <x v="4"/>
    <x v="0"/>
    <x v="22"/>
    <n v="2"/>
    <n v="2200"/>
    <x v="1"/>
    <x v="3"/>
    <x v="6"/>
  </r>
  <r>
    <s v="ORD1251"/>
    <x v="45"/>
    <s v="Kabir"/>
    <x v="4"/>
    <x v="5"/>
    <x v="12"/>
    <n v="1"/>
    <n v="770"/>
    <x v="2"/>
    <x v="4"/>
    <x v="154"/>
  </r>
  <r>
    <s v="ORD1252"/>
    <x v="89"/>
    <s v="Aryan"/>
    <x v="1"/>
    <x v="4"/>
    <x v="25"/>
    <n v="4"/>
    <n v="450"/>
    <x v="0"/>
    <x v="4"/>
    <x v="53"/>
  </r>
  <r>
    <s v="ORD1253"/>
    <x v="137"/>
    <s v="Nisha"/>
    <x v="4"/>
    <x v="2"/>
    <x v="19"/>
    <n v="4"/>
    <n v="4200"/>
    <x v="0"/>
    <x v="1"/>
    <x v="155"/>
  </r>
  <r>
    <s v="ORD1254"/>
    <x v="36"/>
    <s v="Sana"/>
    <x v="5"/>
    <x v="5"/>
    <x v="12"/>
    <n v="2"/>
    <n v="665"/>
    <x v="2"/>
    <x v="5"/>
    <x v="28"/>
  </r>
  <r>
    <s v="ORD1255"/>
    <x v="84"/>
    <s v="Imran"/>
    <x v="4"/>
    <x v="4"/>
    <x v="8"/>
    <n v="1"/>
    <n v="330"/>
    <x v="2"/>
    <x v="1"/>
    <x v="20"/>
  </r>
  <r>
    <s v="ORD1256"/>
    <x v="137"/>
    <s v="Aryan"/>
    <x v="3"/>
    <x v="3"/>
    <x v="16"/>
    <n v="3"/>
    <n v="660"/>
    <x v="2"/>
    <x v="5"/>
    <x v="10"/>
  </r>
  <r>
    <s v="ORD1257"/>
    <x v="125"/>
    <s v="Tara"/>
    <x v="6"/>
    <x v="2"/>
    <x v="19"/>
    <n v="2"/>
    <n v="3990"/>
    <x v="3"/>
    <x v="2"/>
    <x v="156"/>
  </r>
  <r>
    <s v="ORD1258"/>
    <x v="25"/>
    <s v="Rahul"/>
    <x v="0"/>
    <x v="3"/>
    <x v="13"/>
    <n v="8"/>
    <n v="605"/>
    <x v="3"/>
    <x v="2"/>
    <x v="43"/>
  </r>
  <r>
    <s v="ORD1259"/>
    <x v="75"/>
    <s v="Kunal"/>
    <x v="2"/>
    <x v="1"/>
    <x v="31"/>
    <n v="3"/>
    <n v="220"/>
    <x v="0"/>
    <x v="0"/>
    <x v="157"/>
  </r>
  <r>
    <s v="ORD1260"/>
    <x v="68"/>
    <s v="Kabir"/>
    <x v="7"/>
    <x v="0"/>
    <x v="7"/>
    <n v="3"/>
    <n v="1710"/>
    <x v="1"/>
    <x v="3"/>
    <x v="49"/>
  </r>
  <r>
    <s v="ORD1261"/>
    <x v="106"/>
    <s v="Tara"/>
    <x v="3"/>
    <x v="1"/>
    <x v="26"/>
    <n v="2"/>
    <n v="80"/>
    <x v="3"/>
    <x v="0"/>
    <x v="158"/>
  </r>
  <r>
    <s v="ORD1262"/>
    <x v="13"/>
    <s v="Armaan"/>
    <x v="2"/>
    <x v="1"/>
    <x v="4"/>
    <n v="3"/>
    <n v="262.5"/>
    <x v="2"/>
    <x v="1"/>
    <x v="159"/>
  </r>
  <r>
    <s v="ORD1263"/>
    <x v="115"/>
    <s v="Simran"/>
    <x v="3"/>
    <x v="2"/>
    <x v="20"/>
    <n v="3"/>
    <n v="1800"/>
    <x v="0"/>
    <x v="1"/>
    <x v="7"/>
  </r>
  <r>
    <s v="ORD1264"/>
    <x v="3"/>
    <s v="Kunal"/>
    <x v="6"/>
    <x v="3"/>
    <x v="16"/>
    <n v="1"/>
    <n v="600"/>
    <x v="0"/>
    <x v="0"/>
    <x v="46"/>
  </r>
  <r>
    <s v="ORD1265"/>
    <x v="79"/>
    <s v="Nisha"/>
    <x v="6"/>
    <x v="4"/>
    <x v="14"/>
    <n v="2"/>
    <n v="250"/>
    <x v="2"/>
    <x v="4"/>
    <x v="52"/>
  </r>
  <r>
    <s v="ORD1266"/>
    <x v="74"/>
    <s v="Aryan"/>
    <x v="4"/>
    <x v="5"/>
    <x v="10"/>
    <n v="5"/>
    <n v="1890"/>
    <x v="0"/>
    <x v="3"/>
    <x v="63"/>
  </r>
  <r>
    <s v="ORD1267"/>
    <x v="39"/>
    <s v="Alina"/>
    <x v="3"/>
    <x v="3"/>
    <x v="6"/>
    <n v="8"/>
    <n v="760"/>
    <x v="2"/>
    <x v="0"/>
    <x v="160"/>
  </r>
  <r>
    <s v="ORD1268"/>
    <x v="75"/>
    <s v="Adil"/>
    <x v="6"/>
    <x v="1"/>
    <x v="4"/>
    <n v="1"/>
    <n v="275"/>
    <x v="0"/>
    <x v="4"/>
    <x v="161"/>
  </r>
  <r>
    <s v="ORD1269"/>
    <x v="104"/>
    <s v="Zoya"/>
    <x v="0"/>
    <x v="3"/>
    <x v="29"/>
    <n v="1"/>
    <n v="1045"/>
    <x v="3"/>
    <x v="4"/>
    <x v="123"/>
  </r>
  <r>
    <s v="ORD1270"/>
    <x v="26"/>
    <s v="Hina"/>
    <x v="5"/>
    <x v="2"/>
    <x v="20"/>
    <n v="4"/>
    <n v="1710"/>
    <x v="3"/>
    <x v="2"/>
    <x v="162"/>
  </r>
  <r>
    <s v="ORD1271"/>
    <x v="14"/>
    <s v="Aisha"/>
    <x v="0"/>
    <x v="5"/>
    <x v="21"/>
    <n v="3"/>
    <n v="945"/>
    <x v="2"/>
    <x v="3"/>
    <x v="163"/>
  </r>
  <r>
    <s v="ORD1272"/>
    <x v="138"/>
    <s v="Yash"/>
    <x v="0"/>
    <x v="0"/>
    <x v="17"/>
    <n v="6"/>
    <n v="285"/>
    <x v="3"/>
    <x v="1"/>
    <x v="164"/>
  </r>
  <r>
    <s v="ORD1273"/>
    <x v="55"/>
    <s v="Aryan"/>
    <x v="2"/>
    <x v="1"/>
    <x v="27"/>
    <n v="6"/>
    <n v="142.5"/>
    <x v="1"/>
    <x v="1"/>
    <x v="26"/>
  </r>
  <r>
    <s v="ORD1274"/>
    <x v="87"/>
    <s v="Simran"/>
    <x v="1"/>
    <x v="0"/>
    <x v="7"/>
    <n v="1"/>
    <n v="1980"/>
    <x v="2"/>
    <x v="3"/>
    <x v="10"/>
  </r>
  <r>
    <s v="ORD1275"/>
    <x v="31"/>
    <s v="Mahi"/>
    <x v="3"/>
    <x v="4"/>
    <x v="14"/>
    <n v="5"/>
    <n v="250"/>
    <x v="2"/>
    <x v="1"/>
    <x v="165"/>
  </r>
  <r>
    <s v="ORD1276"/>
    <x v="139"/>
    <s v="Yash"/>
    <x v="6"/>
    <x v="2"/>
    <x v="20"/>
    <n v="1"/>
    <n v="1890"/>
    <x v="0"/>
    <x v="4"/>
    <x v="61"/>
  </r>
  <r>
    <s v="ORD1277"/>
    <x v="27"/>
    <s v="Meera"/>
    <x v="2"/>
    <x v="3"/>
    <x v="6"/>
    <n v="3"/>
    <n v="800"/>
    <x v="1"/>
    <x v="2"/>
    <x v="81"/>
  </r>
  <r>
    <s v="ORD1278"/>
    <x v="111"/>
    <s v="Meera"/>
    <x v="5"/>
    <x v="0"/>
    <x v="1"/>
    <n v="2"/>
    <n v="2375"/>
    <x v="1"/>
    <x v="3"/>
    <x v="107"/>
  </r>
  <r>
    <s v="ORD1279"/>
    <x v="40"/>
    <s v="Dev"/>
    <x v="6"/>
    <x v="0"/>
    <x v="3"/>
    <n v="1"/>
    <n v="650"/>
    <x v="2"/>
    <x v="3"/>
    <x v="166"/>
  </r>
  <r>
    <s v="ORD1280"/>
    <x v="136"/>
    <s v="Farhan"/>
    <x v="0"/>
    <x v="0"/>
    <x v="3"/>
    <n v="1"/>
    <n v="650"/>
    <x v="3"/>
    <x v="0"/>
    <x v="166"/>
  </r>
  <r>
    <s v="ORD1281"/>
    <x v="72"/>
    <s v="Hina"/>
    <x v="6"/>
    <x v="4"/>
    <x v="8"/>
    <n v="2"/>
    <n v="315"/>
    <x v="3"/>
    <x v="0"/>
    <x v="66"/>
  </r>
  <r>
    <s v="ORD1282"/>
    <x v="16"/>
    <s v="Imran"/>
    <x v="3"/>
    <x v="2"/>
    <x v="19"/>
    <n v="3"/>
    <n v="4200"/>
    <x v="0"/>
    <x v="5"/>
    <x v="136"/>
  </r>
  <r>
    <s v="ORD1283"/>
    <x v="21"/>
    <s v="Diya"/>
    <x v="3"/>
    <x v="2"/>
    <x v="19"/>
    <n v="2"/>
    <n v="4620"/>
    <x v="0"/>
    <x v="1"/>
    <x v="23"/>
  </r>
  <r>
    <s v="ORD1284"/>
    <x v="140"/>
    <s v="Farhan"/>
    <x v="4"/>
    <x v="0"/>
    <x v="1"/>
    <n v="3"/>
    <n v="2750"/>
    <x v="3"/>
    <x v="2"/>
    <x v="167"/>
  </r>
  <r>
    <s v="ORD1285"/>
    <x v="139"/>
    <s v="Kabir"/>
    <x v="5"/>
    <x v="0"/>
    <x v="17"/>
    <n v="5"/>
    <n v="330"/>
    <x v="0"/>
    <x v="3"/>
    <x v="105"/>
  </r>
  <r>
    <s v="ORD1286"/>
    <x v="66"/>
    <s v="Farhan"/>
    <x v="3"/>
    <x v="4"/>
    <x v="25"/>
    <n v="1"/>
    <n v="450"/>
    <x v="3"/>
    <x v="2"/>
    <x v="58"/>
  </r>
  <r>
    <s v="ORD1287"/>
    <x v="128"/>
    <s v="Tara"/>
    <x v="3"/>
    <x v="0"/>
    <x v="17"/>
    <n v="2"/>
    <n v="330"/>
    <x v="3"/>
    <x v="2"/>
    <x v="157"/>
  </r>
  <r>
    <s v="ORD1288"/>
    <x v="9"/>
    <s v="Adil"/>
    <x v="7"/>
    <x v="3"/>
    <x v="16"/>
    <n v="4"/>
    <n v="630"/>
    <x v="0"/>
    <x v="2"/>
    <x v="64"/>
  </r>
  <r>
    <s v="ORD1289"/>
    <x v="34"/>
    <s v="Nisha"/>
    <x v="7"/>
    <x v="0"/>
    <x v="7"/>
    <n v="2"/>
    <n v="1710"/>
    <x v="3"/>
    <x v="5"/>
    <x v="168"/>
  </r>
  <r>
    <s v="ORD1290"/>
    <x v="10"/>
    <s v="Kunal"/>
    <x v="2"/>
    <x v="3"/>
    <x v="6"/>
    <n v="2"/>
    <n v="800"/>
    <x v="2"/>
    <x v="5"/>
    <x v="169"/>
  </r>
  <r>
    <s v="ORD1291"/>
    <x v="128"/>
    <s v="Imran"/>
    <x v="4"/>
    <x v="5"/>
    <x v="10"/>
    <n v="2"/>
    <n v="1980"/>
    <x v="3"/>
    <x v="1"/>
    <x v="2"/>
  </r>
  <r>
    <s v="ORD1292"/>
    <x v="141"/>
    <s v="Aryan"/>
    <x v="7"/>
    <x v="5"/>
    <x v="12"/>
    <n v="3"/>
    <n v="700"/>
    <x v="3"/>
    <x v="3"/>
    <x v="25"/>
  </r>
  <r>
    <s v="ORD1293"/>
    <x v="9"/>
    <s v="Zoya"/>
    <x v="3"/>
    <x v="5"/>
    <x v="15"/>
    <n v="3"/>
    <n v="1200"/>
    <x v="2"/>
    <x v="1"/>
    <x v="71"/>
  </r>
  <r>
    <s v="ORD1294"/>
    <x v="108"/>
    <s v="Sana"/>
    <x v="2"/>
    <x v="1"/>
    <x v="28"/>
    <n v="6"/>
    <n v="85.5"/>
    <x v="3"/>
    <x v="1"/>
    <x v="170"/>
  </r>
  <r>
    <s v="ORD1295"/>
    <x v="85"/>
    <s v="Dev"/>
    <x v="7"/>
    <x v="0"/>
    <x v="24"/>
    <n v="1"/>
    <n v="1330"/>
    <x v="0"/>
    <x v="0"/>
    <x v="28"/>
  </r>
  <r>
    <s v="ORD1296"/>
    <x v="45"/>
    <s v="Kabir"/>
    <x v="7"/>
    <x v="5"/>
    <x v="12"/>
    <n v="2"/>
    <n v="770"/>
    <x v="0"/>
    <x v="2"/>
    <x v="171"/>
  </r>
  <r>
    <s v="ORD1297"/>
    <x v="87"/>
    <s v="Vihaan"/>
    <x v="4"/>
    <x v="3"/>
    <x v="30"/>
    <n v="4"/>
    <n v="495"/>
    <x v="0"/>
    <x v="3"/>
    <x v="10"/>
  </r>
  <r>
    <s v="ORD1298"/>
    <x v="90"/>
    <s v="Sana"/>
    <x v="5"/>
    <x v="3"/>
    <x v="30"/>
    <n v="2"/>
    <n v="450"/>
    <x v="1"/>
    <x v="2"/>
    <x v="8"/>
  </r>
  <r>
    <s v="ORD1299"/>
    <x v="142"/>
    <s v="Saba"/>
    <x v="4"/>
    <x v="0"/>
    <x v="17"/>
    <n v="8"/>
    <n v="315"/>
    <x v="1"/>
    <x v="5"/>
    <x v="64"/>
  </r>
  <r>
    <s v="ORD1300"/>
    <x v="76"/>
    <s v="Aisha"/>
    <x v="0"/>
    <x v="3"/>
    <x v="16"/>
    <n v="2"/>
    <n v="660"/>
    <x v="0"/>
    <x v="3"/>
    <x v="48"/>
  </r>
  <r>
    <s v="ORD1301"/>
    <x v="23"/>
    <s v="Nisha"/>
    <x v="2"/>
    <x v="1"/>
    <x v="26"/>
    <n v="4"/>
    <n v="76"/>
    <x v="1"/>
    <x v="2"/>
    <x v="172"/>
  </r>
  <r>
    <s v="ORD1302"/>
    <x v="110"/>
    <s v="Kabir"/>
    <x v="4"/>
    <x v="1"/>
    <x v="18"/>
    <n v="2"/>
    <n v="120"/>
    <x v="3"/>
    <x v="5"/>
    <x v="42"/>
  </r>
  <r>
    <s v="ORD1303"/>
    <x v="118"/>
    <s v="Sana"/>
    <x v="6"/>
    <x v="0"/>
    <x v="1"/>
    <n v="3"/>
    <n v="2500"/>
    <x v="1"/>
    <x v="0"/>
    <x v="40"/>
  </r>
  <r>
    <s v="ORD1304"/>
    <x v="36"/>
    <s v="Saba"/>
    <x v="0"/>
    <x v="0"/>
    <x v="7"/>
    <n v="5"/>
    <n v="1800"/>
    <x v="1"/>
    <x v="1"/>
    <x v="87"/>
  </r>
  <r>
    <s v="ORD1305"/>
    <x v="143"/>
    <s v="Kabir"/>
    <x v="0"/>
    <x v="3"/>
    <x v="16"/>
    <n v="8"/>
    <n v="570"/>
    <x v="3"/>
    <x v="0"/>
    <x v="67"/>
  </r>
  <r>
    <s v="ORD1306"/>
    <x v="75"/>
    <s v="Rehan"/>
    <x v="0"/>
    <x v="3"/>
    <x v="29"/>
    <n v="3"/>
    <n v="950"/>
    <x v="2"/>
    <x v="3"/>
    <x v="173"/>
  </r>
  <r>
    <s v="ORD1307"/>
    <x v="77"/>
    <s v="Isha"/>
    <x v="6"/>
    <x v="4"/>
    <x v="8"/>
    <n v="3"/>
    <n v="300"/>
    <x v="2"/>
    <x v="2"/>
    <x v="8"/>
  </r>
  <r>
    <s v="ORD1308"/>
    <x v="11"/>
    <s v="Kunal"/>
    <x v="4"/>
    <x v="4"/>
    <x v="8"/>
    <n v="1"/>
    <n v="315"/>
    <x v="0"/>
    <x v="3"/>
    <x v="153"/>
  </r>
  <r>
    <s v="ORD1309"/>
    <x v="44"/>
    <s v="Riya"/>
    <x v="5"/>
    <x v="5"/>
    <x v="21"/>
    <n v="1"/>
    <n v="900"/>
    <x v="3"/>
    <x v="3"/>
    <x v="8"/>
  </r>
  <r>
    <s v="ORD1310"/>
    <x v="88"/>
    <s v="Vihaan"/>
    <x v="0"/>
    <x v="5"/>
    <x v="21"/>
    <n v="2"/>
    <n v="900"/>
    <x v="1"/>
    <x v="2"/>
    <x v="53"/>
  </r>
  <r>
    <s v="ORD1311"/>
    <x v="68"/>
    <s v="Adil"/>
    <x v="3"/>
    <x v="4"/>
    <x v="14"/>
    <n v="3"/>
    <n v="250"/>
    <x v="1"/>
    <x v="5"/>
    <x v="110"/>
  </r>
  <r>
    <s v="ORD1312"/>
    <x v="144"/>
    <s v="Aisha"/>
    <x v="5"/>
    <x v="2"/>
    <x v="5"/>
    <n v="1"/>
    <n v="550"/>
    <x v="3"/>
    <x v="2"/>
    <x v="47"/>
  </r>
  <r>
    <s v="ORD1313"/>
    <x v="10"/>
    <s v="Kunal"/>
    <x v="7"/>
    <x v="0"/>
    <x v="24"/>
    <n v="6"/>
    <n v="1330"/>
    <x v="1"/>
    <x v="1"/>
    <x v="156"/>
  </r>
  <r>
    <s v="ORD1314"/>
    <x v="52"/>
    <s v="Aarav"/>
    <x v="0"/>
    <x v="3"/>
    <x v="30"/>
    <n v="1"/>
    <n v="450"/>
    <x v="1"/>
    <x v="3"/>
    <x v="58"/>
  </r>
  <r>
    <s v="ORD1315"/>
    <x v="145"/>
    <s v="Aarav"/>
    <x v="2"/>
    <x v="4"/>
    <x v="23"/>
    <n v="3"/>
    <n v="807.5"/>
    <x v="3"/>
    <x v="4"/>
    <x v="174"/>
  </r>
  <r>
    <s v="ORD1316"/>
    <x v="110"/>
    <s v="Aarav"/>
    <x v="2"/>
    <x v="3"/>
    <x v="9"/>
    <n v="3"/>
    <n v="700"/>
    <x v="0"/>
    <x v="4"/>
    <x v="25"/>
  </r>
  <r>
    <s v="ORD1317"/>
    <x v="103"/>
    <s v="Armaan"/>
    <x v="6"/>
    <x v="1"/>
    <x v="26"/>
    <n v="1"/>
    <n v="88"/>
    <x v="2"/>
    <x v="3"/>
    <x v="150"/>
  </r>
  <r>
    <s v="ORD1318"/>
    <x v="105"/>
    <s v="Dev"/>
    <x v="0"/>
    <x v="0"/>
    <x v="1"/>
    <n v="2"/>
    <n v="2625"/>
    <x v="0"/>
    <x v="3"/>
    <x v="133"/>
  </r>
  <r>
    <s v="ORD1319"/>
    <x v="134"/>
    <s v="Rohan"/>
    <x v="2"/>
    <x v="0"/>
    <x v="1"/>
    <n v="3"/>
    <n v="2375"/>
    <x v="1"/>
    <x v="5"/>
    <x v="1"/>
  </r>
  <r>
    <s v="ORD1320"/>
    <x v="88"/>
    <s v="Farhan"/>
    <x v="5"/>
    <x v="4"/>
    <x v="23"/>
    <n v="1"/>
    <n v="807.5"/>
    <x v="3"/>
    <x v="5"/>
    <x v="175"/>
  </r>
  <r>
    <s v="ORD1321"/>
    <x v="146"/>
    <s v="Sameer"/>
    <x v="7"/>
    <x v="2"/>
    <x v="20"/>
    <n v="3"/>
    <n v="1710"/>
    <x v="0"/>
    <x v="1"/>
    <x v="49"/>
  </r>
  <r>
    <s v="ORD1322"/>
    <x v="70"/>
    <s v="Hina"/>
    <x v="6"/>
    <x v="4"/>
    <x v="23"/>
    <n v="1"/>
    <n v="807.5"/>
    <x v="3"/>
    <x v="1"/>
    <x v="175"/>
  </r>
  <r>
    <s v="ORD1323"/>
    <x v="44"/>
    <s v="Imran"/>
    <x v="2"/>
    <x v="0"/>
    <x v="2"/>
    <n v="8"/>
    <n v="1320"/>
    <x v="3"/>
    <x v="3"/>
    <x v="22"/>
  </r>
  <r>
    <s v="ORD1324"/>
    <x v="18"/>
    <s v="Hina"/>
    <x v="4"/>
    <x v="3"/>
    <x v="29"/>
    <n v="3"/>
    <n v="997.5"/>
    <x v="1"/>
    <x v="0"/>
    <x v="176"/>
  </r>
  <r>
    <s v="ORD1325"/>
    <x v="13"/>
    <s v="Sana"/>
    <x v="1"/>
    <x v="0"/>
    <x v="1"/>
    <n v="2"/>
    <n v="2500"/>
    <x v="1"/>
    <x v="1"/>
    <x v="119"/>
  </r>
  <r>
    <s v="ORD1326"/>
    <x v="38"/>
    <s v="Simran"/>
    <x v="2"/>
    <x v="2"/>
    <x v="20"/>
    <n v="3"/>
    <n v="1980"/>
    <x v="2"/>
    <x v="4"/>
    <x v="177"/>
  </r>
  <r>
    <s v="ORD1327"/>
    <x v="147"/>
    <s v="Aisha"/>
    <x v="0"/>
    <x v="3"/>
    <x v="9"/>
    <n v="4"/>
    <n v="735"/>
    <x v="2"/>
    <x v="2"/>
    <x v="144"/>
  </r>
  <r>
    <s v="ORD1328"/>
    <x v="148"/>
    <s v="Hina"/>
    <x v="2"/>
    <x v="5"/>
    <x v="15"/>
    <n v="1"/>
    <n v="1320"/>
    <x v="3"/>
    <x v="2"/>
    <x v="48"/>
  </r>
  <r>
    <s v="ORD1329"/>
    <x v="16"/>
    <s v="Adil"/>
    <x v="5"/>
    <x v="3"/>
    <x v="29"/>
    <n v="4"/>
    <n v="902.5"/>
    <x v="1"/>
    <x v="0"/>
    <x v="178"/>
  </r>
  <r>
    <s v="ORD1330"/>
    <x v="147"/>
    <s v="Alina"/>
    <x v="1"/>
    <x v="1"/>
    <x v="26"/>
    <n v="4"/>
    <n v="80"/>
    <x v="3"/>
    <x v="4"/>
    <x v="179"/>
  </r>
  <r>
    <s v="ORD1331"/>
    <x v="149"/>
    <s v="Anaya"/>
    <x v="5"/>
    <x v="4"/>
    <x v="25"/>
    <n v="2"/>
    <n v="450"/>
    <x v="3"/>
    <x v="1"/>
    <x v="8"/>
  </r>
  <r>
    <s v="ORD1332"/>
    <x v="65"/>
    <s v="Tara"/>
    <x v="1"/>
    <x v="4"/>
    <x v="25"/>
    <n v="3"/>
    <n v="495"/>
    <x v="3"/>
    <x v="4"/>
    <x v="103"/>
  </r>
  <r>
    <s v="ORD1333"/>
    <x v="98"/>
    <s v="Mahi"/>
    <x v="2"/>
    <x v="0"/>
    <x v="1"/>
    <n v="3"/>
    <n v="2500"/>
    <x v="3"/>
    <x v="3"/>
    <x v="40"/>
  </r>
  <r>
    <s v="ORD1334"/>
    <x v="26"/>
    <s v="Sameer"/>
    <x v="0"/>
    <x v="5"/>
    <x v="10"/>
    <n v="4"/>
    <n v="1980"/>
    <x v="0"/>
    <x v="0"/>
    <x v="65"/>
  </r>
  <r>
    <s v="ORD1335"/>
    <x v="77"/>
    <s v="Adil"/>
    <x v="3"/>
    <x v="1"/>
    <x v="31"/>
    <n v="1"/>
    <n v="200"/>
    <x v="0"/>
    <x v="4"/>
    <x v="101"/>
  </r>
  <r>
    <s v="ORD1336"/>
    <x v="62"/>
    <s v="Aisha"/>
    <x v="1"/>
    <x v="5"/>
    <x v="15"/>
    <n v="1"/>
    <n v="1200"/>
    <x v="2"/>
    <x v="3"/>
    <x v="109"/>
  </r>
  <r>
    <s v="ORD1337"/>
    <x v="40"/>
    <s v="Dev"/>
    <x v="1"/>
    <x v="4"/>
    <x v="14"/>
    <n v="3"/>
    <n v="250"/>
    <x v="0"/>
    <x v="3"/>
    <x v="110"/>
  </r>
  <r>
    <s v="ORD1338"/>
    <x v="150"/>
    <s v="Rehan"/>
    <x v="4"/>
    <x v="5"/>
    <x v="12"/>
    <n v="2"/>
    <n v="770"/>
    <x v="1"/>
    <x v="3"/>
    <x v="171"/>
  </r>
  <r>
    <s v="ORD1339"/>
    <x v="65"/>
    <s v="Farhan"/>
    <x v="0"/>
    <x v="1"/>
    <x v="18"/>
    <n v="2"/>
    <n v="132"/>
    <x v="1"/>
    <x v="3"/>
    <x v="140"/>
  </r>
  <r>
    <s v="ORD1340"/>
    <x v="151"/>
    <s v="Riya"/>
    <x v="3"/>
    <x v="5"/>
    <x v="12"/>
    <n v="8"/>
    <n v="700"/>
    <x v="0"/>
    <x v="3"/>
    <x v="180"/>
  </r>
  <r>
    <s v="ORD1341"/>
    <x v="148"/>
    <s v="Alina"/>
    <x v="1"/>
    <x v="3"/>
    <x v="9"/>
    <n v="4"/>
    <n v="735"/>
    <x v="0"/>
    <x v="2"/>
    <x v="144"/>
  </r>
  <r>
    <s v="ORD1342"/>
    <x v="95"/>
    <s v="Aarav"/>
    <x v="3"/>
    <x v="1"/>
    <x v="27"/>
    <n v="3"/>
    <n v="165"/>
    <x v="0"/>
    <x v="5"/>
    <x v="181"/>
  </r>
  <r>
    <s v="ORD1343"/>
    <x v="87"/>
    <s v="Hina"/>
    <x v="3"/>
    <x v="0"/>
    <x v="24"/>
    <n v="4"/>
    <n v="1470"/>
    <x v="0"/>
    <x v="0"/>
    <x v="182"/>
  </r>
  <r>
    <s v="ORD1344"/>
    <x v="64"/>
    <s v="Farhan"/>
    <x v="2"/>
    <x v="3"/>
    <x v="29"/>
    <n v="1"/>
    <n v="950"/>
    <x v="1"/>
    <x v="4"/>
    <x v="183"/>
  </r>
  <r>
    <s v="ORD1345"/>
    <x v="128"/>
    <s v="Armaan"/>
    <x v="2"/>
    <x v="4"/>
    <x v="23"/>
    <n v="3"/>
    <n v="935"/>
    <x v="3"/>
    <x v="3"/>
    <x v="69"/>
  </r>
  <r>
    <s v="ORD1346"/>
    <x v="120"/>
    <s v="Hina"/>
    <x v="4"/>
    <x v="0"/>
    <x v="1"/>
    <n v="1"/>
    <n v="2500"/>
    <x v="0"/>
    <x v="0"/>
    <x v="60"/>
  </r>
  <r>
    <s v="ORD1347"/>
    <x v="152"/>
    <s v="Kunal"/>
    <x v="4"/>
    <x v="0"/>
    <x v="7"/>
    <n v="3"/>
    <n v="1890"/>
    <x v="1"/>
    <x v="4"/>
    <x v="33"/>
  </r>
  <r>
    <s v="ORD1348"/>
    <x v="15"/>
    <s v="Riya"/>
    <x v="0"/>
    <x v="0"/>
    <x v="22"/>
    <n v="1"/>
    <n v="2420"/>
    <x v="1"/>
    <x v="3"/>
    <x v="184"/>
  </r>
  <r>
    <s v="ORD1349"/>
    <x v="137"/>
    <s v="Farhan"/>
    <x v="5"/>
    <x v="4"/>
    <x v="8"/>
    <n v="4"/>
    <n v="330"/>
    <x v="2"/>
    <x v="4"/>
    <x v="48"/>
  </r>
  <r>
    <s v="ORD1350"/>
    <x v="73"/>
    <s v="Anaya"/>
    <x v="5"/>
    <x v="0"/>
    <x v="22"/>
    <n v="2"/>
    <n v="2090"/>
    <x v="2"/>
    <x v="3"/>
    <x v="185"/>
  </r>
  <r>
    <s v="ORD1351"/>
    <x v="153"/>
    <s v="Aisha"/>
    <x v="4"/>
    <x v="4"/>
    <x v="8"/>
    <n v="4"/>
    <n v="330"/>
    <x v="1"/>
    <x v="4"/>
    <x v="48"/>
  </r>
  <r>
    <s v="ORD1352"/>
    <x v="154"/>
    <s v="Sana"/>
    <x v="1"/>
    <x v="4"/>
    <x v="25"/>
    <n v="2"/>
    <n v="450"/>
    <x v="3"/>
    <x v="3"/>
    <x v="8"/>
  </r>
  <r>
    <s v="ORD1353"/>
    <x v="99"/>
    <s v="Diya"/>
    <x v="0"/>
    <x v="0"/>
    <x v="22"/>
    <n v="3"/>
    <n v="2200"/>
    <x v="0"/>
    <x v="2"/>
    <x v="62"/>
  </r>
  <r>
    <s v="ORD1354"/>
    <x v="14"/>
    <s v="Zoya"/>
    <x v="2"/>
    <x v="2"/>
    <x v="20"/>
    <n v="3"/>
    <n v="1890"/>
    <x v="0"/>
    <x v="1"/>
    <x v="33"/>
  </r>
  <r>
    <s v="ORD1355"/>
    <x v="0"/>
    <s v="Sameer"/>
    <x v="0"/>
    <x v="5"/>
    <x v="15"/>
    <n v="2"/>
    <n v="1320"/>
    <x v="1"/>
    <x v="2"/>
    <x v="151"/>
  </r>
  <r>
    <s v="ORD1356"/>
    <x v="60"/>
    <s v="Kabir"/>
    <x v="6"/>
    <x v="5"/>
    <x v="10"/>
    <n v="1"/>
    <n v="1800"/>
    <x v="3"/>
    <x v="2"/>
    <x v="53"/>
  </r>
  <r>
    <s v="ORD1357"/>
    <x v="1"/>
    <s v="Dev"/>
    <x v="1"/>
    <x v="1"/>
    <x v="27"/>
    <n v="2"/>
    <n v="150"/>
    <x v="2"/>
    <x v="0"/>
    <x v="56"/>
  </r>
  <r>
    <s v="ORD1358"/>
    <x v="155"/>
    <s v="Rehan"/>
    <x v="1"/>
    <x v="2"/>
    <x v="11"/>
    <n v="3"/>
    <n v="7150"/>
    <x v="2"/>
    <x v="3"/>
    <x v="186"/>
  </r>
  <r>
    <s v="ORD1359"/>
    <x v="115"/>
    <s v="Diya"/>
    <x v="1"/>
    <x v="1"/>
    <x v="27"/>
    <n v="4"/>
    <n v="150"/>
    <x v="0"/>
    <x v="3"/>
    <x v="46"/>
  </r>
  <r>
    <s v="ORD1360"/>
    <x v="72"/>
    <s v="Alina"/>
    <x v="5"/>
    <x v="3"/>
    <x v="29"/>
    <n v="2"/>
    <n v="950"/>
    <x v="1"/>
    <x v="5"/>
    <x v="187"/>
  </r>
  <r>
    <s v="ORD1361"/>
    <x v="33"/>
    <s v="Meera"/>
    <x v="3"/>
    <x v="1"/>
    <x v="18"/>
    <n v="3"/>
    <n v="126"/>
    <x v="0"/>
    <x v="2"/>
    <x v="54"/>
  </r>
  <r>
    <s v="ORD1362"/>
    <x v="62"/>
    <s v="Vihaan"/>
    <x v="3"/>
    <x v="4"/>
    <x v="14"/>
    <n v="2"/>
    <n v="250"/>
    <x v="3"/>
    <x v="3"/>
    <x v="52"/>
  </r>
  <r>
    <s v="ORD1363"/>
    <x v="15"/>
    <s v="Nisha"/>
    <x v="3"/>
    <x v="4"/>
    <x v="14"/>
    <n v="1"/>
    <n v="262.5"/>
    <x v="1"/>
    <x v="0"/>
    <x v="188"/>
  </r>
  <r>
    <s v="ORD1364"/>
    <x v="155"/>
    <s v="Aisha"/>
    <x v="5"/>
    <x v="5"/>
    <x v="21"/>
    <n v="4"/>
    <n v="945"/>
    <x v="3"/>
    <x v="2"/>
    <x v="15"/>
  </r>
  <r>
    <s v="ORD1365"/>
    <x v="107"/>
    <s v="Zoya"/>
    <x v="6"/>
    <x v="3"/>
    <x v="30"/>
    <n v="2"/>
    <n v="450"/>
    <x v="0"/>
    <x v="5"/>
    <x v="8"/>
  </r>
  <r>
    <s v="ORD1366"/>
    <x v="97"/>
    <s v="Rahul"/>
    <x v="1"/>
    <x v="4"/>
    <x v="14"/>
    <n v="3"/>
    <n v="237.5"/>
    <x v="2"/>
    <x v="2"/>
    <x v="44"/>
  </r>
  <r>
    <s v="ORD1367"/>
    <x v="101"/>
    <s v="Nisha"/>
    <x v="0"/>
    <x v="0"/>
    <x v="7"/>
    <n v="4"/>
    <n v="1890"/>
    <x v="1"/>
    <x v="4"/>
    <x v="189"/>
  </r>
  <r>
    <s v="ORD1368"/>
    <x v="53"/>
    <s v="Dev"/>
    <x v="6"/>
    <x v="3"/>
    <x v="29"/>
    <n v="2"/>
    <n v="902.5"/>
    <x v="2"/>
    <x v="4"/>
    <x v="190"/>
  </r>
  <r>
    <s v="ORD1369"/>
    <x v="154"/>
    <s v="Kabir"/>
    <x v="4"/>
    <x v="0"/>
    <x v="0"/>
    <n v="4"/>
    <n v="3500"/>
    <x v="1"/>
    <x v="1"/>
    <x v="70"/>
  </r>
  <r>
    <s v="ORD1370"/>
    <x v="104"/>
    <s v="Saba"/>
    <x v="7"/>
    <x v="1"/>
    <x v="18"/>
    <n v="4"/>
    <n v="120"/>
    <x v="2"/>
    <x v="2"/>
    <x v="132"/>
  </r>
  <r>
    <s v="ORD1371"/>
    <x v="3"/>
    <s v="Isha"/>
    <x v="6"/>
    <x v="1"/>
    <x v="31"/>
    <n v="2"/>
    <n v="200"/>
    <x v="3"/>
    <x v="1"/>
    <x v="191"/>
  </r>
  <r>
    <s v="ORD1372"/>
    <x v="26"/>
    <s v="Farhan"/>
    <x v="5"/>
    <x v="0"/>
    <x v="17"/>
    <n v="10"/>
    <n v="300"/>
    <x v="0"/>
    <x v="1"/>
    <x v="192"/>
  </r>
  <r>
    <s v="ORD1373"/>
    <x v="69"/>
    <s v="Aisha"/>
    <x v="5"/>
    <x v="2"/>
    <x v="11"/>
    <n v="5"/>
    <n v="6825"/>
    <x v="2"/>
    <x v="0"/>
    <x v="193"/>
  </r>
  <r>
    <s v="ORD1374"/>
    <x v="55"/>
    <s v="Rehan"/>
    <x v="6"/>
    <x v="5"/>
    <x v="10"/>
    <n v="2"/>
    <n v="1710"/>
    <x v="2"/>
    <x v="5"/>
    <x v="168"/>
  </r>
  <r>
    <s v="ORD1375"/>
    <x v="92"/>
    <s v="Riya"/>
    <x v="3"/>
    <x v="2"/>
    <x v="11"/>
    <n v="3"/>
    <n v="6175"/>
    <x v="2"/>
    <x v="4"/>
    <x v="194"/>
  </r>
  <r>
    <s v="ORD1376"/>
    <x v="20"/>
    <s v="Aryan"/>
    <x v="0"/>
    <x v="5"/>
    <x v="12"/>
    <n v="1"/>
    <n v="735"/>
    <x v="1"/>
    <x v="3"/>
    <x v="195"/>
  </r>
  <r>
    <s v="ORD1377"/>
    <x v="131"/>
    <s v="Imran"/>
    <x v="3"/>
    <x v="3"/>
    <x v="6"/>
    <n v="2"/>
    <n v="880"/>
    <x v="2"/>
    <x v="0"/>
    <x v="31"/>
  </r>
  <r>
    <s v="ORD1378"/>
    <x v="32"/>
    <s v="Aarav"/>
    <x v="1"/>
    <x v="0"/>
    <x v="7"/>
    <n v="1"/>
    <n v="1890"/>
    <x v="0"/>
    <x v="5"/>
    <x v="61"/>
  </r>
  <r>
    <s v="ORD1379"/>
    <x v="31"/>
    <s v="Kabir"/>
    <x v="5"/>
    <x v="0"/>
    <x v="3"/>
    <n v="10"/>
    <n v="682.5"/>
    <x v="2"/>
    <x v="1"/>
    <x v="34"/>
  </r>
  <r>
    <s v="ORD1380"/>
    <x v="108"/>
    <s v="Rohan"/>
    <x v="4"/>
    <x v="0"/>
    <x v="1"/>
    <n v="3"/>
    <n v="2500"/>
    <x v="0"/>
    <x v="4"/>
    <x v="40"/>
  </r>
  <r>
    <s v="ORD1381"/>
    <x v="105"/>
    <s v="Tara"/>
    <x v="1"/>
    <x v="3"/>
    <x v="16"/>
    <n v="4"/>
    <n v="600"/>
    <x v="3"/>
    <x v="4"/>
    <x v="81"/>
  </r>
  <r>
    <s v="ORD1382"/>
    <x v="30"/>
    <s v="Zoya"/>
    <x v="3"/>
    <x v="4"/>
    <x v="23"/>
    <n v="1"/>
    <n v="935"/>
    <x v="3"/>
    <x v="4"/>
    <x v="196"/>
  </r>
  <r>
    <s v="ORD1383"/>
    <x v="54"/>
    <s v="Farhan"/>
    <x v="5"/>
    <x v="2"/>
    <x v="20"/>
    <n v="4"/>
    <n v="1890"/>
    <x v="1"/>
    <x v="4"/>
    <x v="189"/>
  </r>
  <r>
    <s v="ORD1384"/>
    <x v="83"/>
    <s v="Anaya"/>
    <x v="4"/>
    <x v="5"/>
    <x v="10"/>
    <n v="1"/>
    <n v="1710"/>
    <x v="2"/>
    <x v="3"/>
    <x v="164"/>
  </r>
  <r>
    <s v="ORD1385"/>
    <x v="13"/>
    <s v="Yash"/>
    <x v="5"/>
    <x v="5"/>
    <x v="10"/>
    <n v="4"/>
    <n v="1800"/>
    <x v="3"/>
    <x v="2"/>
    <x v="68"/>
  </r>
  <r>
    <s v="ORD1386"/>
    <x v="97"/>
    <s v="Dev"/>
    <x v="4"/>
    <x v="0"/>
    <x v="3"/>
    <n v="3"/>
    <n v="650"/>
    <x v="0"/>
    <x v="0"/>
    <x v="197"/>
  </r>
  <r>
    <s v="ORD1387"/>
    <x v="76"/>
    <s v="Mahi"/>
    <x v="0"/>
    <x v="5"/>
    <x v="21"/>
    <n v="3"/>
    <n v="945"/>
    <x v="3"/>
    <x v="4"/>
    <x v="163"/>
  </r>
  <r>
    <s v="ORD1388"/>
    <x v="13"/>
    <s v="Alina"/>
    <x v="2"/>
    <x v="0"/>
    <x v="0"/>
    <n v="3"/>
    <n v="3675"/>
    <x v="2"/>
    <x v="1"/>
    <x v="198"/>
  </r>
  <r>
    <s v="ORD1389"/>
    <x v="40"/>
    <s v="Nisha"/>
    <x v="6"/>
    <x v="3"/>
    <x v="9"/>
    <n v="3"/>
    <n v="700"/>
    <x v="3"/>
    <x v="0"/>
    <x v="25"/>
  </r>
  <r>
    <s v="ORD1390"/>
    <x v="64"/>
    <s v="Kabir"/>
    <x v="2"/>
    <x v="1"/>
    <x v="4"/>
    <n v="2"/>
    <n v="275"/>
    <x v="2"/>
    <x v="0"/>
    <x v="47"/>
  </r>
  <r>
    <s v="ORD1391"/>
    <x v="37"/>
    <s v="Zoya"/>
    <x v="3"/>
    <x v="3"/>
    <x v="29"/>
    <n v="2"/>
    <n v="902.5"/>
    <x v="3"/>
    <x v="2"/>
    <x v="190"/>
  </r>
  <r>
    <s v="ORD1392"/>
    <x v="156"/>
    <s v="Rehan"/>
    <x v="2"/>
    <x v="2"/>
    <x v="19"/>
    <n v="6"/>
    <n v="4200"/>
    <x v="2"/>
    <x v="2"/>
    <x v="199"/>
  </r>
  <r>
    <s v="ORD1393"/>
    <x v="140"/>
    <s v="Aarav"/>
    <x v="1"/>
    <x v="1"/>
    <x v="27"/>
    <n v="4"/>
    <n v="142.5"/>
    <x v="3"/>
    <x v="3"/>
    <x v="138"/>
  </r>
  <r>
    <s v="ORD1394"/>
    <x v="123"/>
    <s v="Armaan"/>
    <x v="6"/>
    <x v="0"/>
    <x v="7"/>
    <n v="6"/>
    <n v="1890"/>
    <x v="1"/>
    <x v="5"/>
    <x v="200"/>
  </r>
  <r>
    <s v="ORD1395"/>
    <x v="120"/>
    <s v="Nisha"/>
    <x v="5"/>
    <x v="5"/>
    <x v="12"/>
    <n v="1"/>
    <n v="770"/>
    <x v="2"/>
    <x v="4"/>
    <x v="154"/>
  </r>
  <r>
    <s v="ORD1396"/>
    <x v="121"/>
    <s v="Saba"/>
    <x v="5"/>
    <x v="0"/>
    <x v="1"/>
    <n v="2"/>
    <n v="2500"/>
    <x v="2"/>
    <x v="5"/>
    <x v="119"/>
  </r>
  <r>
    <s v="ORD1397"/>
    <x v="80"/>
    <s v="Riya"/>
    <x v="0"/>
    <x v="0"/>
    <x v="24"/>
    <n v="2"/>
    <n v="1470"/>
    <x v="3"/>
    <x v="1"/>
    <x v="144"/>
  </r>
  <r>
    <s v="ORD1398"/>
    <x v="157"/>
    <s v="Simran"/>
    <x v="7"/>
    <x v="5"/>
    <x v="15"/>
    <n v="1"/>
    <n v="1320"/>
    <x v="2"/>
    <x v="0"/>
    <x v="48"/>
  </r>
  <r>
    <s v="ORD1399"/>
    <x v="158"/>
    <s v="Farhan"/>
    <x v="7"/>
    <x v="1"/>
    <x v="27"/>
    <n v="1"/>
    <n v="150"/>
    <x v="0"/>
    <x v="5"/>
    <x v="201"/>
  </r>
  <r>
    <s v="ORD1400"/>
    <x v="159"/>
    <s v="Riya"/>
    <x v="6"/>
    <x v="3"/>
    <x v="13"/>
    <n v="1"/>
    <n v="550"/>
    <x v="3"/>
    <x v="4"/>
    <x v="47"/>
  </r>
  <r>
    <s v="ORD1401"/>
    <x v="143"/>
    <s v="Adil"/>
    <x v="1"/>
    <x v="5"/>
    <x v="15"/>
    <n v="1"/>
    <n v="1140"/>
    <x v="1"/>
    <x v="5"/>
    <x v="17"/>
  </r>
  <r>
    <s v="ORD1402"/>
    <x v="116"/>
    <s v="Meera"/>
    <x v="4"/>
    <x v="2"/>
    <x v="19"/>
    <n v="1"/>
    <n v="4620"/>
    <x v="0"/>
    <x v="3"/>
    <x v="202"/>
  </r>
  <r>
    <s v="ORD1403"/>
    <x v="1"/>
    <s v="Aarav"/>
    <x v="7"/>
    <x v="0"/>
    <x v="0"/>
    <n v="1"/>
    <n v="3850"/>
    <x v="3"/>
    <x v="1"/>
    <x v="203"/>
  </r>
  <r>
    <s v="ORD1404"/>
    <x v="45"/>
    <s v="Meera"/>
    <x v="7"/>
    <x v="4"/>
    <x v="23"/>
    <n v="2"/>
    <n v="850"/>
    <x v="1"/>
    <x v="1"/>
    <x v="152"/>
  </r>
  <r>
    <s v="ORD1405"/>
    <x v="131"/>
    <s v="Adil"/>
    <x v="1"/>
    <x v="3"/>
    <x v="29"/>
    <n v="2"/>
    <n v="950"/>
    <x v="2"/>
    <x v="4"/>
    <x v="187"/>
  </r>
  <r>
    <s v="ORD1406"/>
    <x v="100"/>
    <s v="Sana"/>
    <x v="2"/>
    <x v="0"/>
    <x v="17"/>
    <n v="1"/>
    <n v="330"/>
    <x v="3"/>
    <x v="5"/>
    <x v="20"/>
  </r>
  <r>
    <s v="ORD1407"/>
    <x v="119"/>
    <s v="Dev"/>
    <x v="7"/>
    <x v="3"/>
    <x v="16"/>
    <n v="2"/>
    <n v="660"/>
    <x v="2"/>
    <x v="1"/>
    <x v="48"/>
  </r>
  <r>
    <s v="ORD1408"/>
    <x v="87"/>
    <s v="Dev"/>
    <x v="4"/>
    <x v="3"/>
    <x v="16"/>
    <n v="4"/>
    <n v="600"/>
    <x v="1"/>
    <x v="1"/>
    <x v="81"/>
  </r>
  <r>
    <s v="ORD1409"/>
    <x v="95"/>
    <s v="Aarav"/>
    <x v="0"/>
    <x v="3"/>
    <x v="29"/>
    <n v="1"/>
    <n v="997.5"/>
    <x v="2"/>
    <x v="0"/>
    <x v="204"/>
  </r>
  <r>
    <s v="ORD1410"/>
    <x v="70"/>
    <s v="Kunal"/>
    <x v="2"/>
    <x v="0"/>
    <x v="3"/>
    <n v="8"/>
    <n v="617.5"/>
    <x v="2"/>
    <x v="4"/>
    <x v="205"/>
  </r>
  <r>
    <s v="ORD1411"/>
    <x v="85"/>
    <s v="Imran"/>
    <x v="6"/>
    <x v="3"/>
    <x v="29"/>
    <n v="2"/>
    <n v="902.5"/>
    <x v="3"/>
    <x v="4"/>
    <x v="190"/>
  </r>
  <r>
    <s v="ORD1412"/>
    <x v="160"/>
    <s v="Dev"/>
    <x v="1"/>
    <x v="5"/>
    <x v="21"/>
    <n v="4"/>
    <n v="900"/>
    <x v="3"/>
    <x v="2"/>
    <x v="71"/>
  </r>
  <r>
    <s v="ORD1413"/>
    <x v="129"/>
    <s v="Sana"/>
    <x v="2"/>
    <x v="5"/>
    <x v="12"/>
    <n v="1"/>
    <n v="770"/>
    <x v="0"/>
    <x v="1"/>
    <x v="154"/>
  </r>
  <r>
    <s v="ORD1414"/>
    <x v="87"/>
    <s v="Farhan"/>
    <x v="4"/>
    <x v="3"/>
    <x v="13"/>
    <n v="5"/>
    <n v="577.5"/>
    <x v="2"/>
    <x v="5"/>
    <x v="206"/>
  </r>
  <r>
    <s v="ORD1415"/>
    <x v="58"/>
    <s v="Imran"/>
    <x v="1"/>
    <x v="3"/>
    <x v="30"/>
    <n v="1"/>
    <n v="450"/>
    <x v="0"/>
    <x v="4"/>
    <x v="58"/>
  </r>
  <r>
    <s v="ORD1416"/>
    <x v="62"/>
    <s v="Anaya"/>
    <x v="4"/>
    <x v="4"/>
    <x v="25"/>
    <n v="2"/>
    <n v="472.5"/>
    <x v="0"/>
    <x v="5"/>
    <x v="74"/>
  </r>
  <r>
    <s v="ORD1417"/>
    <x v="149"/>
    <s v="Rohan"/>
    <x v="5"/>
    <x v="4"/>
    <x v="8"/>
    <n v="1"/>
    <n v="285"/>
    <x v="2"/>
    <x v="0"/>
    <x v="24"/>
  </r>
  <r>
    <s v="ORD1418"/>
    <x v="54"/>
    <s v="Imran"/>
    <x v="1"/>
    <x v="0"/>
    <x v="7"/>
    <n v="1"/>
    <n v="1800"/>
    <x v="0"/>
    <x v="3"/>
    <x v="53"/>
  </r>
  <r>
    <s v="ORD1419"/>
    <x v="105"/>
    <s v="Aryan"/>
    <x v="5"/>
    <x v="0"/>
    <x v="17"/>
    <n v="3"/>
    <n v="300"/>
    <x v="3"/>
    <x v="5"/>
    <x v="8"/>
  </r>
  <r>
    <s v="ORD1420"/>
    <x v="161"/>
    <s v="Saba"/>
    <x v="5"/>
    <x v="3"/>
    <x v="29"/>
    <n v="1"/>
    <n v="902.5"/>
    <x v="3"/>
    <x v="4"/>
    <x v="207"/>
  </r>
  <r>
    <s v="ORD1421"/>
    <x v="145"/>
    <s v="Alina"/>
    <x v="1"/>
    <x v="3"/>
    <x v="30"/>
    <n v="1"/>
    <n v="472.5"/>
    <x v="2"/>
    <x v="4"/>
    <x v="208"/>
  </r>
  <r>
    <s v="ORD1422"/>
    <x v="162"/>
    <s v="Saba"/>
    <x v="5"/>
    <x v="0"/>
    <x v="24"/>
    <n v="1"/>
    <n v="1470"/>
    <x v="3"/>
    <x v="3"/>
    <x v="93"/>
  </r>
  <r>
    <s v="ORD1423"/>
    <x v="163"/>
    <s v="Meera"/>
    <x v="2"/>
    <x v="0"/>
    <x v="7"/>
    <n v="6"/>
    <n v="1710"/>
    <x v="1"/>
    <x v="5"/>
    <x v="209"/>
  </r>
  <r>
    <s v="ORD1424"/>
    <x v="107"/>
    <s v="Alina"/>
    <x v="0"/>
    <x v="5"/>
    <x v="10"/>
    <n v="3"/>
    <n v="1800"/>
    <x v="0"/>
    <x v="3"/>
    <x v="7"/>
  </r>
  <r>
    <s v="ORD1425"/>
    <x v="3"/>
    <s v="Simran"/>
    <x v="0"/>
    <x v="4"/>
    <x v="25"/>
    <n v="5"/>
    <n v="427.5"/>
    <x v="2"/>
    <x v="5"/>
    <x v="210"/>
  </r>
  <r>
    <s v="ORD1426"/>
    <x v="26"/>
    <s v="Rehan"/>
    <x v="5"/>
    <x v="4"/>
    <x v="23"/>
    <n v="1"/>
    <n v="850"/>
    <x v="1"/>
    <x v="1"/>
    <x v="211"/>
  </r>
  <r>
    <s v="ORD1427"/>
    <x v="130"/>
    <s v="Saba"/>
    <x v="7"/>
    <x v="3"/>
    <x v="29"/>
    <n v="3"/>
    <n v="1045"/>
    <x v="1"/>
    <x v="0"/>
    <x v="212"/>
  </r>
  <r>
    <s v="ORD1428"/>
    <x v="5"/>
    <s v="Alina"/>
    <x v="4"/>
    <x v="4"/>
    <x v="23"/>
    <n v="3"/>
    <n v="892.5"/>
    <x v="1"/>
    <x v="3"/>
    <x v="147"/>
  </r>
  <r>
    <s v="ORD1429"/>
    <x v="28"/>
    <s v="Aarav"/>
    <x v="6"/>
    <x v="0"/>
    <x v="2"/>
    <n v="2"/>
    <n v="1200"/>
    <x v="3"/>
    <x v="5"/>
    <x v="81"/>
  </r>
  <r>
    <s v="ORD1430"/>
    <x v="110"/>
    <s v="Meera"/>
    <x v="1"/>
    <x v="2"/>
    <x v="5"/>
    <n v="4"/>
    <n v="500"/>
    <x v="0"/>
    <x v="0"/>
    <x v="4"/>
  </r>
  <r>
    <s v="ORD1431"/>
    <x v="19"/>
    <s v="Kunal"/>
    <x v="0"/>
    <x v="3"/>
    <x v="9"/>
    <n v="3"/>
    <n v="665"/>
    <x v="1"/>
    <x v="3"/>
    <x v="137"/>
  </r>
  <r>
    <s v="ORD1432"/>
    <x v="164"/>
    <s v="Saba"/>
    <x v="4"/>
    <x v="1"/>
    <x v="27"/>
    <n v="1"/>
    <n v="150"/>
    <x v="3"/>
    <x v="0"/>
    <x v="201"/>
  </r>
  <r>
    <s v="ORD1433"/>
    <x v="120"/>
    <s v="Imran"/>
    <x v="0"/>
    <x v="2"/>
    <x v="5"/>
    <n v="6"/>
    <n v="550"/>
    <x v="1"/>
    <x v="2"/>
    <x v="18"/>
  </r>
  <r>
    <s v="ORD1434"/>
    <x v="121"/>
    <s v="Sana"/>
    <x v="0"/>
    <x v="1"/>
    <x v="27"/>
    <n v="2"/>
    <n v="142.5"/>
    <x v="0"/>
    <x v="4"/>
    <x v="24"/>
  </r>
  <r>
    <s v="ORD1435"/>
    <x v="124"/>
    <s v="Kabir"/>
    <x v="5"/>
    <x v="4"/>
    <x v="23"/>
    <n v="1"/>
    <n v="935"/>
    <x v="2"/>
    <x v="0"/>
    <x v="196"/>
  </r>
  <r>
    <s v="ORD1436"/>
    <x v="151"/>
    <s v="Rahul"/>
    <x v="5"/>
    <x v="2"/>
    <x v="11"/>
    <n v="1"/>
    <n v="6500"/>
    <x v="3"/>
    <x v="2"/>
    <x v="213"/>
  </r>
  <r>
    <s v="ORD1437"/>
    <x v="101"/>
    <s v="Rahul"/>
    <x v="1"/>
    <x v="0"/>
    <x v="24"/>
    <n v="2"/>
    <n v="1470"/>
    <x v="2"/>
    <x v="3"/>
    <x v="144"/>
  </r>
  <r>
    <s v="ORD1438"/>
    <x v="131"/>
    <s v="Saba"/>
    <x v="3"/>
    <x v="1"/>
    <x v="18"/>
    <n v="8"/>
    <n v="126"/>
    <x v="2"/>
    <x v="1"/>
    <x v="214"/>
  </r>
  <r>
    <s v="ORD1439"/>
    <x v="23"/>
    <s v="Aryan"/>
    <x v="5"/>
    <x v="2"/>
    <x v="5"/>
    <n v="1"/>
    <n v="550"/>
    <x v="1"/>
    <x v="3"/>
    <x v="47"/>
  </r>
  <r>
    <s v="ORD1440"/>
    <x v="165"/>
    <s v="Farhan"/>
    <x v="2"/>
    <x v="3"/>
    <x v="6"/>
    <n v="1"/>
    <n v="760"/>
    <x v="3"/>
    <x v="1"/>
    <x v="128"/>
  </r>
  <r>
    <s v="ORD1441"/>
    <x v="36"/>
    <s v="Zoya"/>
    <x v="1"/>
    <x v="2"/>
    <x v="11"/>
    <n v="6"/>
    <n v="7150"/>
    <x v="1"/>
    <x v="1"/>
    <x v="215"/>
  </r>
  <r>
    <s v="ORD1442"/>
    <x v="42"/>
    <s v="Meera"/>
    <x v="1"/>
    <x v="0"/>
    <x v="24"/>
    <n v="1"/>
    <n v="1400"/>
    <x v="2"/>
    <x v="5"/>
    <x v="59"/>
  </r>
  <r>
    <s v="ORD1443"/>
    <x v="15"/>
    <s v="Alina"/>
    <x v="6"/>
    <x v="3"/>
    <x v="13"/>
    <n v="1"/>
    <n v="522.5"/>
    <x v="3"/>
    <x v="0"/>
    <x v="216"/>
  </r>
  <r>
    <s v="ORD1444"/>
    <x v="48"/>
    <s v="Meera"/>
    <x v="2"/>
    <x v="0"/>
    <x v="17"/>
    <n v="2"/>
    <n v="315"/>
    <x v="1"/>
    <x v="5"/>
    <x v="66"/>
  </r>
  <r>
    <s v="ORD1445"/>
    <x v="166"/>
    <s v="Saba"/>
    <x v="0"/>
    <x v="5"/>
    <x v="10"/>
    <n v="1"/>
    <n v="1890"/>
    <x v="0"/>
    <x v="5"/>
    <x v="61"/>
  </r>
  <r>
    <s v="ORD1446"/>
    <x v="34"/>
    <s v="Adil"/>
    <x v="1"/>
    <x v="0"/>
    <x v="7"/>
    <n v="2"/>
    <n v="1800"/>
    <x v="3"/>
    <x v="3"/>
    <x v="71"/>
  </r>
  <r>
    <s v="ORD1447"/>
    <x v="144"/>
    <s v="Nisha"/>
    <x v="1"/>
    <x v="5"/>
    <x v="10"/>
    <n v="1"/>
    <n v="1710"/>
    <x v="2"/>
    <x v="2"/>
    <x v="164"/>
  </r>
  <r>
    <s v="ORD1448"/>
    <x v="104"/>
    <s v="Yash"/>
    <x v="5"/>
    <x v="4"/>
    <x v="23"/>
    <n v="4"/>
    <n v="892.5"/>
    <x v="1"/>
    <x v="1"/>
    <x v="217"/>
  </r>
  <r>
    <s v="ORD1449"/>
    <x v="37"/>
    <s v="Tara"/>
    <x v="6"/>
    <x v="0"/>
    <x v="22"/>
    <n v="2"/>
    <n v="2200"/>
    <x v="2"/>
    <x v="3"/>
    <x v="6"/>
  </r>
  <r>
    <s v="ORD1450"/>
    <x v="24"/>
    <s v="Nisha"/>
    <x v="3"/>
    <x v="0"/>
    <x v="22"/>
    <n v="1"/>
    <n v="2420"/>
    <x v="0"/>
    <x v="4"/>
    <x v="184"/>
  </r>
  <r>
    <s v="ORD1451"/>
    <x v="167"/>
    <s v="Aryan"/>
    <x v="3"/>
    <x v="0"/>
    <x v="3"/>
    <n v="2"/>
    <n v="650"/>
    <x v="0"/>
    <x v="4"/>
    <x v="218"/>
  </r>
  <r>
    <s v="ORD1452"/>
    <x v="168"/>
    <s v="Rohan"/>
    <x v="3"/>
    <x v="1"/>
    <x v="4"/>
    <n v="1"/>
    <n v="250"/>
    <x v="3"/>
    <x v="3"/>
    <x v="75"/>
  </r>
  <r>
    <s v="ORD1453"/>
    <x v="105"/>
    <s v="Rohan"/>
    <x v="2"/>
    <x v="4"/>
    <x v="23"/>
    <n v="2"/>
    <n v="850"/>
    <x v="0"/>
    <x v="3"/>
    <x v="152"/>
  </r>
  <r>
    <s v="ORD1454"/>
    <x v="77"/>
    <s v="Adil"/>
    <x v="3"/>
    <x v="2"/>
    <x v="19"/>
    <n v="1"/>
    <n v="3990"/>
    <x v="1"/>
    <x v="3"/>
    <x v="124"/>
  </r>
  <r>
    <s v="ORD1455"/>
    <x v="86"/>
    <s v="Kunal"/>
    <x v="1"/>
    <x v="3"/>
    <x v="9"/>
    <n v="3"/>
    <n v="700"/>
    <x v="3"/>
    <x v="0"/>
    <x v="25"/>
  </r>
  <r>
    <s v="ORD1456"/>
    <x v="159"/>
    <s v="Zoya"/>
    <x v="7"/>
    <x v="5"/>
    <x v="21"/>
    <n v="8"/>
    <n v="990"/>
    <x v="1"/>
    <x v="2"/>
    <x v="65"/>
  </r>
  <r>
    <s v="ORD1457"/>
    <x v="106"/>
    <s v="Aisha"/>
    <x v="6"/>
    <x v="4"/>
    <x v="23"/>
    <n v="3"/>
    <n v="850"/>
    <x v="3"/>
    <x v="5"/>
    <x v="219"/>
  </r>
  <r>
    <s v="ORD1458"/>
    <x v="69"/>
    <s v="Saba"/>
    <x v="5"/>
    <x v="0"/>
    <x v="7"/>
    <n v="2"/>
    <n v="1980"/>
    <x v="3"/>
    <x v="5"/>
    <x v="2"/>
  </r>
  <r>
    <s v="ORD1459"/>
    <x v="164"/>
    <s v="Imran"/>
    <x v="7"/>
    <x v="1"/>
    <x v="31"/>
    <n v="8"/>
    <n v="200"/>
    <x v="1"/>
    <x v="4"/>
    <x v="169"/>
  </r>
  <r>
    <s v="ORD1460"/>
    <x v="140"/>
    <s v="Aryan"/>
    <x v="6"/>
    <x v="5"/>
    <x v="15"/>
    <n v="1"/>
    <n v="1200"/>
    <x v="2"/>
    <x v="0"/>
    <x v="109"/>
  </r>
  <r>
    <s v="ORD1461"/>
    <x v="7"/>
    <s v="Nisha"/>
    <x v="4"/>
    <x v="0"/>
    <x v="1"/>
    <n v="2"/>
    <n v="2625"/>
    <x v="2"/>
    <x v="2"/>
    <x v="133"/>
  </r>
  <r>
    <s v="ORD1462"/>
    <x v="115"/>
    <s v="Rahul"/>
    <x v="2"/>
    <x v="0"/>
    <x v="3"/>
    <n v="4"/>
    <n v="715"/>
    <x v="3"/>
    <x v="5"/>
    <x v="220"/>
  </r>
  <r>
    <s v="ORD1463"/>
    <x v="76"/>
    <s v="Kunal"/>
    <x v="1"/>
    <x v="1"/>
    <x v="26"/>
    <n v="3"/>
    <n v="88"/>
    <x v="3"/>
    <x v="2"/>
    <x v="140"/>
  </r>
  <r>
    <s v="ORD1464"/>
    <x v="122"/>
    <s v="Sameer"/>
    <x v="2"/>
    <x v="3"/>
    <x v="6"/>
    <n v="5"/>
    <n v="800"/>
    <x v="2"/>
    <x v="5"/>
    <x v="145"/>
  </r>
  <r>
    <s v="ORD1465"/>
    <x v="53"/>
    <s v="Sana"/>
    <x v="5"/>
    <x v="4"/>
    <x v="14"/>
    <n v="3"/>
    <n v="262.5"/>
    <x v="2"/>
    <x v="5"/>
    <x v="159"/>
  </r>
  <r>
    <s v="ORD1466"/>
    <x v="90"/>
    <s v="Farhan"/>
    <x v="0"/>
    <x v="5"/>
    <x v="12"/>
    <n v="1"/>
    <n v="700"/>
    <x v="3"/>
    <x v="0"/>
    <x v="149"/>
  </r>
  <r>
    <s v="ORD1467"/>
    <x v="25"/>
    <s v="Vihaan"/>
    <x v="6"/>
    <x v="3"/>
    <x v="9"/>
    <n v="5"/>
    <n v="665"/>
    <x v="2"/>
    <x v="3"/>
    <x v="221"/>
  </r>
  <r>
    <s v="ORD1468"/>
    <x v="155"/>
    <s v="Imran"/>
    <x v="6"/>
    <x v="0"/>
    <x v="22"/>
    <n v="8"/>
    <n v="2200"/>
    <x v="1"/>
    <x v="3"/>
    <x v="222"/>
  </r>
  <r>
    <s v="ORD1469"/>
    <x v="169"/>
    <s v="Kabir"/>
    <x v="3"/>
    <x v="5"/>
    <x v="21"/>
    <n v="3"/>
    <n v="855"/>
    <x v="0"/>
    <x v="5"/>
    <x v="114"/>
  </r>
  <r>
    <s v="ORD1470"/>
    <x v="92"/>
    <s v="Saba"/>
    <x v="5"/>
    <x v="2"/>
    <x v="19"/>
    <n v="5"/>
    <n v="4620"/>
    <x v="3"/>
    <x v="3"/>
    <x v="223"/>
  </r>
  <r>
    <s v="ORD1471"/>
    <x v="23"/>
    <s v="Sameer"/>
    <x v="7"/>
    <x v="5"/>
    <x v="12"/>
    <n v="1"/>
    <n v="770"/>
    <x v="0"/>
    <x v="1"/>
    <x v="154"/>
  </r>
  <r>
    <s v="ORD1472"/>
    <x v="41"/>
    <s v="Sana"/>
    <x v="4"/>
    <x v="0"/>
    <x v="17"/>
    <n v="1"/>
    <n v="315"/>
    <x v="0"/>
    <x v="3"/>
    <x v="153"/>
  </r>
  <r>
    <s v="ORD1473"/>
    <x v="118"/>
    <s v="Hina"/>
    <x v="7"/>
    <x v="4"/>
    <x v="8"/>
    <n v="2"/>
    <n v="285"/>
    <x v="0"/>
    <x v="3"/>
    <x v="138"/>
  </r>
  <r>
    <s v="ORD1474"/>
    <x v="155"/>
    <s v="Rahul"/>
    <x v="4"/>
    <x v="4"/>
    <x v="25"/>
    <n v="1"/>
    <n v="472.5"/>
    <x v="2"/>
    <x v="1"/>
    <x v="208"/>
  </r>
  <r>
    <s v="ORD1475"/>
    <x v="170"/>
    <s v="Sana"/>
    <x v="5"/>
    <x v="0"/>
    <x v="1"/>
    <n v="2"/>
    <n v="2625"/>
    <x v="0"/>
    <x v="1"/>
    <x v="133"/>
  </r>
  <r>
    <s v="ORD1476"/>
    <x v="99"/>
    <s v="Yash"/>
    <x v="2"/>
    <x v="3"/>
    <x v="30"/>
    <n v="3"/>
    <n v="450"/>
    <x v="3"/>
    <x v="0"/>
    <x v="224"/>
  </r>
  <r>
    <s v="ORD1477"/>
    <x v="15"/>
    <s v="Simran"/>
    <x v="7"/>
    <x v="4"/>
    <x v="23"/>
    <n v="6"/>
    <n v="850"/>
    <x v="0"/>
    <x v="3"/>
    <x v="225"/>
  </r>
  <r>
    <s v="ORD1478"/>
    <x v="21"/>
    <s v="Tara"/>
    <x v="2"/>
    <x v="3"/>
    <x v="16"/>
    <n v="4"/>
    <n v="600"/>
    <x v="2"/>
    <x v="5"/>
    <x v="81"/>
  </r>
  <r>
    <s v="ORD1479"/>
    <x v="96"/>
    <s v="Aryan"/>
    <x v="2"/>
    <x v="1"/>
    <x v="4"/>
    <n v="2"/>
    <n v="275"/>
    <x v="3"/>
    <x v="4"/>
    <x v="47"/>
  </r>
  <r>
    <s v="ORD1480"/>
    <x v="116"/>
    <s v="Simran"/>
    <x v="6"/>
    <x v="2"/>
    <x v="19"/>
    <n v="3"/>
    <n v="4620"/>
    <x v="2"/>
    <x v="0"/>
    <x v="226"/>
  </r>
  <r>
    <s v="ORD1481"/>
    <x v="17"/>
    <s v="Yash"/>
    <x v="4"/>
    <x v="4"/>
    <x v="23"/>
    <n v="1"/>
    <n v="850"/>
    <x v="2"/>
    <x v="3"/>
    <x v="211"/>
  </r>
  <r>
    <s v="ORD1482"/>
    <x v="53"/>
    <s v="Kunal"/>
    <x v="0"/>
    <x v="3"/>
    <x v="16"/>
    <n v="1"/>
    <n v="660"/>
    <x v="3"/>
    <x v="2"/>
    <x v="157"/>
  </r>
  <r>
    <s v="ORD1483"/>
    <x v="114"/>
    <s v="Yash"/>
    <x v="3"/>
    <x v="2"/>
    <x v="11"/>
    <n v="3"/>
    <n v="6175"/>
    <x v="2"/>
    <x v="3"/>
    <x v="194"/>
  </r>
  <r>
    <s v="ORD1484"/>
    <x v="106"/>
    <s v="Rahul"/>
    <x v="0"/>
    <x v="5"/>
    <x v="12"/>
    <n v="2"/>
    <n v="665"/>
    <x v="2"/>
    <x v="0"/>
    <x v="28"/>
  </r>
  <r>
    <s v="ORD1485"/>
    <x v="69"/>
    <s v="Diya"/>
    <x v="4"/>
    <x v="3"/>
    <x v="30"/>
    <n v="3"/>
    <n v="472.5"/>
    <x v="2"/>
    <x v="1"/>
    <x v="85"/>
  </r>
  <r>
    <s v="ORD1486"/>
    <x v="158"/>
    <s v="Imran"/>
    <x v="6"/>
    <x v="1"/>
    <x v="27"/>
    <n v="2"/>
    <n v="157.5"/>
    <x v="0"/>
    <x v="0"/>
    <x v="153"/>
  </r>
  <r>
    <s v="ORD1487"/>
    <x v="143"/>
    <s v="Riya"/>
    <x v="6"/>
    <x v="0"/>
    <x v="1"/>
    <n v="1"/>
    <n v="2500"/>
    <x v="1"/>
    <x v="3"/>
    <x v="60"/>
  </r>
  <r>
    <s v="ORD1488"/>
    <x v="171"/>
    <s v="Mahi"/>
    <x v="1"/>
    <x v="3"/>
    <x v="13"/>
    <n v="3"/>
    <n v="577.5"/>
    <x v="1"/>
    <x v="4"/>
    <x v="227"/>
  </r>
  <r>
    <s v="ORD1489"/>
    <x v="147"/>
    <s v="Armaan"/>
    <x v="1"/>
    <x v="0"/>
    <x v="24"/>
    <n v="2"/>
    <n v="1400"/>
    <x v="1"/>
    <x v="2"/>
    <x v="120"/>
  </r>
  <r>
    <s v="ORD1490"/>
    <x v="57"/>
    <s v="Imran"/>
    <x v="0"/>
    <x v="5"/>
    <x v="21"/>
    <n v="1"/>
    <n v="900"/>
    <x v="2"/>
    <x v="5"/>
    <x v="8"/>
  </r>
  <r>
    <s v="ORD1491"/>
    <x v="172"/>
    <s v="Kunal"/>
    <x v="1"/>
    <x v="4"/>
    <x v="8"/>
    <n v="1"/>
    <n v="300"/>
    <x v="1"/>
    <x v="3"/>
    <x v="56"/>
  </r>
  <r>
    <s v="ORD1492"/>
    <x v="52"/>
    <s v="Aarav"/>
    <x v="3"/>
    <x v="1"/>
    <x v="27"/>
    <n v="2"/>
    <n v="142.5"/>
    <x v="2"/>
    <x v="1"/>
    <x v="24"/>
  </r>
  <r>
    <s v="ORD1493"/>
    <x v="144"/>
    <s v="Imran"/>
    <x v="2"/>
    <x v="1"/>
    <x v="31"/>
    <n v="2"/>
    <n v="190"/>
    <x v="1"/>
    <x v="5"/>
    <x v="228"/>
  </r>
  <r>
    <s v="ORD1494"/>
    <x v="60"/>
    <s v="Nisha"/>
    <x v="0"/>
    <x v="4"/>
    <x v="23"/>
    <n v="2"/>
    <n v="807.5"/>
    <x v="2"/>
    <x v="4"/>
    <x v="139"/>
  </r>
  <r>
    <s v="ORD1495"/>
    <x v="131"/>
    <s v="Yash"/>
    <x v="0"/>
    <x v="1"/>
    <x v="28"/>
    <n v="1"/>
    <n v="85.5"/>
    <x v="0"/>
    <x v="0"/>
    <x v="229"/>
  </r>
  <r>
    <s v="ORD1496"/>
    <x v="159"/>
    <s v="Armaan"/>
    <x v="6"/>
    <x v="3"/>
    <x v="16"/>
    <n v="1"/>
    <n v="630"/>
    <x v="0"/>
    <x v="4"/>
    <x v="66"/>
  </r>
  <r>
    <s v="ORD1497"/>
    <x v="45"/>
    <s v="Riya"/>
    <x v="4"/>
    <x v="3"/>
    <x v="16"/>
    <n v="6"/>
    <n v="630"/>
    <x v="1"/>
    <x v="0"/>
    <x v="15"/>
  </r>
  <r>
    <s v="ORD1498"/>
    <x v="129"/>
    <s v="Alina"/>
    <x v="0"/>
    <x v="2"/>
    <x v="20"/>
    <n v="10"/>
    <n v="1890"/>
    <x v="0"/>
    <x v="5"/>
    <x v="230"/>
  </r>
  <r>
    <s v="ORD1499"/>
    <x v="125"/>
    <s v="Kabir"/>
    <x v="7"/>
    <x v="3"/>
    <x v="30"/>
    <n v="1"/>
    <n v="450"/>
    <x v="0"/>
    <x v="4"/>
    <x v="58"/>
  </r>
  <r>
    <s v="ORD1500"/>
    <x v="101"/>
    <s v="Kunal"/>
    <x v="7"/>
    <x v="0"/>
    <x v="7"/>
    <n v="2"/>
    <n v="1800"/>
    <x v="3"/>
    <x v="0"/>
    <x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DD3A09-BCC5-4963-8330-1167A2A3C7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4:B41" firstHeaderRow="1" firstDataRow="1" firstDataCol="1"/>
  <pivotFields count="13">
    <pivotField showAll="0"/>
    <pivotField numFmtId="164" showAll="0">
      <items count="174">
        <item x="48"/>
        <item x="150"/>
        <item x="15"/>
        <item x="156"/>
        <item x="125"/>
        <item x="162"/>
        <item x="168"/>
        <item x="107"/>
        <item x="10"/>
        <item x="126"/>
        <item x="39"/>
        <item x="45"/>
        <item x="32"/>
        <item x="37"/>
        <item x="117"/>
        <item x="145"/>
        <item x="22"/>
        <item x="7"/>
        <item x="34"/>
        <item x="38"/>
        <item x="6"/>
        <item x="109"/>
        <item x="157"/>
        <item x="93"/>
        <item x="103"/>
        <item x="122"/>
        <item x="1"/>
        <item x="17"/>
        <item x="139"/>
        <item x="43"/>
        <item x="72"/>
        <item x="163"/>
        <item x="59"/>
        <item x="113"/>
        <item x="129"/>
        <item x="13"/>
        <item x="90"/>
        <item x="51"/>
        <item x="76"/>
        <item x="4"/>
        <item x="14"/>
        <item x="18"/>
        <item x="62"/>
        <item x="144"/>
        <item x="164"/>
        <item x="151"/>
        <item x="28"/>
        <item x="127"/>
        <item x="132"/>
        <item x="41"/>
        <item x="85"/>
        <item x="30"/>
        <item x="123"/>
        <item x="112"/>
        <item x="86"/>
        <item x="83"/>
        <item x="160"/>
        <item x="24"/>
        <item x="19"/>
        <item x="68"/>
        <item x="40"/>
        <item x="96"/>
        <item x="94"/>
        <item x="170"/>
        <item x="35"/>
        <item x="169"/>
        <item x="58"/>
        <item x="108"/>
        <item x="3"/>
        <item x="119"/>
        <item x="138"/>
        <item x="87"/>
        <item x="16"/>
        <item x="57"/>
        <item x="64"/>
        <item x="149"/>
        <item x="121"/>
        <item x="44"/>
        <item x="135"/>
        <item x="131"/>
        <item x="111"/>
        <item x="42"/>
        <item x="143"/>
        <item x="27"/>
        <item x="153"/>
        <item x="159"/>
        <item x="166"/>
        <item x="98"/>
        <item x="5"/>
        <item x="167"/>
        <item x="101"/>
        <item x="118"/>
        <item x="171"/>
        <item x="148"/>
        <item x="77"/>
        <item x="89"/>
        <item x="56"/>
        <item x="137"/>
        <item x="105"/>
        <item x="114"/>
        <item x="46"/>
        <item x="26"/>
        <item x="55"/>
        <item x="106"/>
        <item x="60"/>
        <item x="65"/>
        <item x="146"/>
        <item x="154"/>
        <item x="49"/>
        <item x="128"/>
        <item x="161"/>
        <item x="31"/>
        <item x="115"/>
        <item x="9"/>
        <item x="81"/>
        <item x="61"/>
        <item x="25"/>
        <item x="75"/>
        <item x="73"/>
        <item x="92"/>
        <item x="155"/>
        <item x="142"/>
        <item x="11"/>
        <item x="100"/>
        <item x="2"/>
        <item x="116"/>
        <item x="84"/>
        <item x="66"/>
        <item x="124"/>
        <item x="110"/>
        <item x="20"/>
        <item x="141"/>
        <item x="29"/>
        <item x="95"/>
        <item x="71"/>
        <item x="88"/>
        <item x="12"/>
        <item x="97"/>
        <item x="172"/>
        <item x="74"/>
        <item x="63"/>
        <item x="133"/>
        <item x="136"/>
        <item x="80"/>
        <item x="67"/>
        <item x="33"/>
        <item x="82"/>
        <item x="36"/>
        <item x="21"/>
        <item x="152"/>
        <item x="104"/>
        <item x="78"/>
        <item x="91"/>
        <item x="52"/>
        <item x="147"/>
        <item x="0"/>
        <item x="130"/>
        <item x="99"/>
        <item x="53"/>
        <item x="158"/>
        <item x="50"/>
        <item x="47"/>
        <item x="8"/>
        <item x="102"/>
        <item x="140"/>
        <item x="134"/>
        <item x="165"/>
        <item x="70"/>
        <item x="54"/>
        <item x="120"/>
        <item x="79"/>
        <item x="23"/>
        <item x="69"/>
        <item t="default"/>
      </items>
    </pivotField>
    <pivotField showAll="0"/>
    <pivotField showAll="0">
      <items count="9">
        <item x="7"/>
        <item x="5"/>
        <item x="2"/>
        <item x="0"/>
        <item x="3"/>
        <item x="6"/>
        <item x="1"/>
        <item x="4"/>
        <item t="default"/>
      </items>
    </pivotField>
    <pivotField showAll="0">
      <items count="7">
        <item x="5"/>
        <item x="0"/>
        <item x="4"/>
        <item x="3"/>
        <item x="2"/>
        <item x="1"/>
        <item t="default"/>
      </items>
    </pivotField>
    <pivotField showAll="0">
      <items count="33">
        <item x="10"/>
        <item x="22"/>
        <item x="25"/>
        <item x="9"/>
        <item x="4"/>
        <item x="5"/>
        <item x="13"/>
        <item x="23"/>
        <item x="19"/>
        <item x="27"/>
        <item x="8"/>
        <item x="7"/>
        <item x="2"/>
        <item x="20"/>
        <item x="31"/>
        <item x="18"/>
        <item x="11"/>
        <item x="26"/>
        <item x="24"/>
        <item x="0"/>
        <item x="14"/>
        <item x="28"/>
        <item x="16"/>
        <item x="15"/>
        <item x="29"/>
        <item x="12"/>
        <item x="17"/>
        <item x="6"/>
        <item x="21"/>
        <item x="30"/>
        <item x="1"/>
        <item x="3"/>
        <item t="default"/>
      </items>
    </pivotField>
    <pivotField showAll="0"/>
    <pivotField showAll="0"/>
    <pivotField showAll="0">
      <items count="5">
        <item x="2"/>
        <item x="0"/>
        <item x="1"/>
        <item x="3"/>
        <item t="default"/>
      </items>
    </pivotField>
    <pivotField axis="axisRow" showAll="0" sortType="descending">
      <items count="7">
        <item x="3"/>
        <item x="2"/>
        <item x="5"/>
        <item x="1"/>
        <item x="4"/>
        <item x="0"/>
        <item t="default"/>
      </items>
      <autoSortScope>
        <pivotArea dataOnly="0" outline="0" fieldPosition="0">
          <references count="1">
            <reference field="4294967294" count="1" selected="0">
              <x v="0"/>
            </reference>
          </references>
        </pivotArea>
      </autoSortScope>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v="3"/>
    </i>
    <i>
      <x/>
    </i>
    <i>
      <x v="5"/>
    </i>
    <i>
      <x v="1"/>
    </i>
    <i>
      <x v="2"/>
    </i>
    <i>
      <x v="4"/>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C3CFD-456D-490B-9A0B-C6B1A7F777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7" firstHeaderRow="1" firstDataRow="1" firstDataCol="1"/>
  <pivotFields count="13">
    <pivotField showAll="0"/>
    <pivotField numFmtId="164" showAll="0">
      <items count="174">
        <item x="48"/>
        <item x="150"/>
        <item x="15"/>
        <item x="156"/>
        <item x="125"/>
        <item x="162"/>
        <item x="168"/>
        <item x="107"/>
        <item x="10"/>
        <item x="126"/>
        <item x="39"/>
        <item x="45"/>
        <item x="32"/>
        <item x="37"/>
        <item x="117"/>
        <item x="145"/>
        <item x="22"/>
        <item x="7"/>
        <item x="34"/>
        <item x="38"/>
        <item x="6"/>
        <item x="109"/>
        <item x="157"/>
        <item x="93"/>
        <item x="103"/>
        <item x="122"/>
        <item x="1"/>
        <item x="17"/>
        <item x="139"/>
        <item x="43"/>
        <item x="72"/>
        <item x="163"/>
        <item x="59"/>
        <item x="113"/>
        <item x="129"/>
        <item x="13"/>
        <item x="90"/>
        <item x="51"/>
        <item x="76"/>
        <item x="4"/>
        <item x="14"/>
        <item x="18"/>
        <item x="62"/>
        <item x="144"/>
        <item x="164"/>
        <item x="151"/>
        <item x="28"/>
        <item x="127"/>
        <item x="132"/>
        <item x="41"/>
        <item x="85"/>
        <item x="30"/>
        <item x="123"/>
        <item x="112"/>
        <item x="86"/>
        <item x="83"/>
        <item x="160"/>
        <item x="24"/>
        <item x="19"/>
        <item x="68"/>
        <item x="40"/>
        <item x="96"/>
        <item x="94"/>
        <item x="170"/>
        <item x="35"/>
        <item x="169"/>
        <item x="58"/>
        <item x="108"/>
        <item x="3"/>
        <item x="119"/>
        <item x="138"/>
        <item x="87"/>
        <item x="16"/>
        <item x="57"/>
        <item x="64"/>
        <item x="149"/>
        <item x="121"/>
        <item x="44"/>
        <item x="135"/>
        <item x="131"/>
        <item x="111"/>
        <item x="42"/>
        <item x="143"/>
        <item x="27"/>
        <item x="153"/>
        <item x="159"/>
        <item x="166"/>
        <item x="98"/>
        <item x="5"/>
        <item x="167"/>
        <item x="101"/>
        <item x="118"/>
        <item x="171"/>
        <item x="148"/>
        <item x="77"/>
        <item x="89"/>
        <item x="56"/>
        <item x="137"/>
        <item x="105"/>
        <item x="114"/>
        <item x="46"/>
        <item x="26"/>
        <item x="55"/>
        <item x="106"/>
        <item x="60"/>
        <item x="65"/>
        <item x="146"/>
        <item x="154"/>
        <item x="49"/>
        <item x="128"/>
        <item x="161"/>
        <item x="31"/>
        <item x="115"/>
        <item x="9"/>
        <item x="81"/>
        <item x="61"/>
        <item x="25"/>
        <item x="75"/>
        <item x="73"/>
        <item x="92"/>
        <item x="155"/>
        <item x="142"/>
        <item x="11"/>
        <item x="100"/>
        <item x="2"/>
        <item x="116"/>
        <item x="84"/>
        <item x="66"/>
        <item x="124"/>
        <item x="110"/>
        <item x="20"/>
        <item x="141"/>
        <item x="29"/>
        <item x="95"/>
        <item x="71"/>
        <item x="88"/>
        <item x="12"/>
        <item x="97"/>
        <item x="172"/>
        <item x="74"/>
        <item x="63"/>
        <item x="133"/>
        <item x="136"/>
        <item x="80"/>
        <item x="67"/>
        <item x="33"/>
        <item x="82"/>
        <item x="36"/>
        <item x="21"/>
        <item x="152"/>
        <item x="104"/>
        <item x="78"/>
        <item x="91"/>
        <item x="52"/>
        <item x="147"/>
        <item x="0"/>
        <item x="130"/>
        <item x="99"/>
        <item x="53"/>
        <item x="158"/>
        <item x="50"/>
        <item x="47"/>
        <item x="8"/>
        <item x="102"/>
        <item x="140"/>
        <item x="134"/>
        <item x="165"/>
        <item x="70"/>
        <item x="54"/>
        <item x="120"/>
        <item x="79"/>
        <item x="23"/>
        <item x="69"/>
        <item t="default"/>
      </items>
    </pivotField>
    <pivotField showAll="0"/>
    <pivotField axis="axisRow" showAll="0">
      <items count="9">
        <item x="7"/>
        <item x="5"/>
        <item x="2"/>
        <item x="0"/>
        <item x="3"/>
        <item x="6"/>
        <item x="1"/>
        <item x="4"/>
        <item t="default"/>
      </items>
    </pivotField>
    <pivotField showAll="0">
      <items count="7">
        <item x="5"/>
        <item x="0"/>
        <item x="4"/>
        <item x="3"/>
        <item x="2"/>
        <item x="1"/>
        <item t="default"/>
      </items>
    </pivotField>
    <pivotField showAll="0">
      <items count="33">
        <item x="10"/>
        <item x="22"/>
        <item x="25"/>
        <item x="9"/>
        <item x="4"/>
        <item x="5"/>
        <item x="13"/>
        <item x="23"/>
        <item x="19"/>
        <item x="27"/>
        <item x="8"/>
        <item x="7"/>
        <item x="2"/>
        <item x="20"/>
        <item x="31"/>
        <item x="18"/>
        <item x="11"/>
        <item x="26"/>
        <item x="24"/>
        <item x="0"/>
        <item x="14"/>
        <item x="28"/>
        <item x="16"/>
        <item x="15"/>
        <item x="29"/>
        <item x="12"/>
        <item x="17"/>
        <item x="6"/>
        <item x="21"/>
        <item x="30"/>
        <item x="1"/>
        <item x="3"/>
        <item t="default"/>
      </items>
    </pivotField>
    <pivotField showAll="0"/>
    <pivotField showAll="0"/>
    <pivotField showAll="0">
      <items count="5">
        <item x="2"/>
        <item x="0"/>
        <item x="1"/>
        <item x="3"/>
        <item t="default"/>
      </items>
    </pivotField>
    <pivotField showAll="0">
      <items count="7">
        <item x="3"/>
        <item x="2"/>
        <item x="5"/>
        <item x="1"/>
        <item x="4"/>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3834A2-DA06-433F-9552-E77FACB04B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0:B77" firstHeaderRow="1" firstDataRow="1" firstDataCol="1"/>
  <pivotFields count="13">
    <pivotField showAll="0"/>
    <pivotField axis="axisRow" numFmtId="164" showAll="0">
      <items count="174">
        <item x="48"/>
        <item x="150"/>
        <item x="15"/>
        <item x="156"/>
        <item x="125"/>
        <item x="162"/>
        <item x="168"/>
        <item x="107"/>
        <item x="10"/>
        <item x="126"/>
        <item x="39"/>
        <item x="45"/>
        <item x="32"/>
        <item x="37"/>
        <item x="117"/>
        <item x="145"/>
        <item x="22"/>
        <item x="7"/>
        <item x="34"/>
        <item x="38"/>
        <item x="6"/>
        <item x="109"/>
        <item x="157"/>
        <item x="93"/>
        <item x="103"/>
        <item x="122"/>
        <item x="1"/>
        <item x="17"/>
        <item x="139"/>
        <item x="43"/>
        <item x="72"/>
        <item x="163"/>
        <item x="59"/>
        <item x="113"/>
        <item x="129"/>
        <item x="13"/>
        <item x="90"/>
        <item x="51"/>
        <item x="76"/>
        <item x="4"/>
        <item x="14"/>
        <item x="18"/>
        <item x="62"/>
        <item x="144"/>
        <item x="164"/>
        <item x="151"/>
        <item x="28"/>
        <item x="127"/>
        <item x="132"/>
        <item x="41"/>
        <item x="85"/>
        <item x="30"/>
        <item x="123"/>
        <item x="112"/>
        <item x="86"/>
        <item x="83"/>
        <item x="160"/>
        <item x="24"/>
        <item x="19"/>
        <item x="68"/>
        <item x="40"/>
        <item x="96"/>
        <item x="94"/>
        <item x="170"/>
        <item x="35"/>
        <item x="169"/>
        <item x="58"/>
        <item x="108"/>
        <item x="3"/>
        <item x="119"/>
        <item x="138"/>
        <item x="87"/>
        <item x="16"/>
        <item x="57"/>
        <item x="64"/>
        <item x="149"/>
        <item x="121"/>
        <item x="44"/>
        <item x="135"/>
        <item x="131"/>
        <item x="111"/>
        <item x="42"/>
        <item x="143"/>
        <item x="27"/>
        <item x="153"/>
        <item x="159"/>
        <item x="166"/>
        <item x="98"/>
        <item x="5"/>
        <item x="167"/>
        <item x="101"/>
        <item x="118"/>
        <item x="171"/>
        <item x="148"/>
        <item x="77"/>
        <item x="89"/>
        <item x="56"/>
        <item x="137"/>
        <item x="105"/>
        <item x="114"/>
        <item x="46"/>
        <item x="26"/>
        <item x="55"/>
        <item x="106"/>
        <item x="60"/>
        <item x="65"/>
        <item x="146"/>
        <item x="154"/>
        <item x="49"/>
        <item x="128"/>
        <item x="161"/>
        <item x="31"/>
        <item x="115"/>
        <item x="9"/>
        <item x="81"/>
        <item x="61"/>
        <item x="25"/>
        <item x="75"/>
        <item x="73"/>
        <item x="92"/>
        <item x="155"/>
        <item x="142"/>
        <item x="11"/>
        <item x="100"/>
        <item x="2"/>
        <item x="116"/>
        <item x="84"/>
        <item x="66"/>
        <item x="124"/>
        <item x="110"/>
        <item x="20"/>
        <item x="141"/>
        <item x="29"/>
        <item x="95"/>
        <item x="71"/>
        <item x="88"/>
        <item x="12"/>
        <item x="97"/>
        <item x="172"/>
        <item x="74"/>
        <item x="63"/>
        <item x="133"/>
        <item x="136"/>
        <item x="80"/>
        <item x="67"/>
        <item x="33"/>
        <item x="82"/>
        <item x="36"/>
        <item x="21"/>
        <item x="152"/>
        <item x="104"/>
        <item x="78"/>
        <item x="91"/>
        <item x="52"/>
        <item x="147"/>
        <item x="0"/>
        <item x="130"/>
        <item x="99"/>
        <item x="53"/>
        <item x="158"/>
        <item x="50"/>
        <item x="47"/>
        <item x="8"/>
        <item x="102"/>
        <item x="140"/>
        <item x="134"/>
        <item x="165"/>
        <item x="70"/>
        <item x="54"/>
        <item x="120"/>
        <item x="79"/>
        <item x="23"/>
        <item x="69"/>
        <item t="default"/>
      </items>
    </pivotField>
    <pivotField showAll="0"/>
    <pivotField showAll="0">
      <items count="9">
        <item x="7"/>
        <item x="5"/>
        <item x="2"/>
        <item x="0"/>
        <item x="3"/>
        <item x="6"/>
        <item x="1"/>
        <item x="4"/>
        <item t="default"/>
      </items>
    </pivotField>
    <pivotField showAll="0">
      <items count="7">
        <item x="5"/>
        <item x="0"/>
        <item x="4"/>
        <item x="3"/>
        <item x="2"/>
        <item x="1"/>
        <item t="default"/>
      </items>
    </pivotField>
    <pivotField showAll="0">
      <items count="33">
        <item x="10"/>
        <item x="22"/>
        <item x="25"/>
        <item x="9"/>
        <item x="4"/>
        <item x="5"/>
        <item x="13"/>
        <item x="23"/>
        <item x="19"/>
        <item x="27"/>
        <item x="8"/>
        <item x="7"/>
        <item x="2"/>
        <item x="20"/>
        <item x="31"/>
        <item x="18"/>
        <item x="11"/>
        <item x="26"/>
        <item x="24"/>
        <item x="0"/>
        <item x="14"/>
        <item x="28"/>
        <item x="16"/>
        <item x="15"/>
        <item x="29"/>
        <item x="12"/>
        <item x="17"/>
        <item x="6"/>
        <item x="21"/>
        <item x="30"/>
        <item x="1"/>
        <item x="3"/>
        <item t="default"/>
      </items>
    </pivotField>
    <pivotField showAll="0"/>
    <pivotField showAll="0"/>
    <pivotField showAll="0">
      <items count="5">
        <item x="2"/>
        <item x="0"/>
        <item x="1"/>
        <item x="3"/>
        <item t="default"/>
      </items>
    </pivotField>
    <pivotField showAll="0">
      <items count="7">
        <item x="3"/>
        <item x="2"/>
        <item x="5"/>
        <item x="1"/>
        <item x="4"/>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sortType="ascending">
      <items count="15">
        <item sd="0" x="1"/>
        <item sd="0" x="2"/>
        <item sd="0" x="3"/>
        <item sd="0" x="4"/>
        <item sd="0" x="5"/>
        <item sd="0" x="6"/>
        <item sd="0" x="7"/>
        <item sd="0" x="8"/>
        <item sd="0" x="9"/>
        <item sd="0" x="10"/>
        <item sd="0" x="11"/>
        <item sd="0" x="12"/>
        <item sd="0" x="0"/>
        <item sd="0" x="13"/>
        <item t="default" sd="0"/>
      </items>
    </pivotField>
  </pivotFields>
  <rowFields count="2">
    <field x="12"/>
    <field x="1"/>
  </rowFields>
  <rowItems count="7">
    <i>
      <x v="3"/>
    </i>
    <i>
      <x v="4"/>
    </i>
    <i>
      <x v="5"/>
    </i>
    <i>
      <x v="6"/>
    </i>
    <i>
      <x v="7"/>
    </i>
    <i>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3A7CA0-5FA6-4CC3-B6F6-9A7CBF7F85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0" firstHeaderRow="1" firstDataRow="1" firstDataCol="1"/>
  <pivotFields count="13">
    <pivotField showAll="0"/>
    <pivotField numFmtId="164" showAll="0">
      <items count="174">
        <item x="48"/>
        <item x="150"/>
        <item x="15"/>
        <item x="156"/>
        <item x="125"/>
        <item x="162"/>
        <item x="168"/>
        <item x="107"/>
        <item x="10"/>
        <item x="126"/>
        <item x="39"/>
        <item x="45"/>
        <item x="32"/>
        <item x="37"/>
        <item x="117"/>
        <item x="145"/>
        <item x="22"/>
        <item x="7"/>
        <item x="34"/>
        <item x="38"/>
        <item x="6"/>
        <item x="109"/>
        <item x="157"/>
        <item x="93"/>
        <item x="103"/>
        <item x="122"/>
        <item x="1"/>
        <item x="17"/>
        <item x="139"/>
        <item x="43"/>
        <item x="72"/>
        <item x="163"/>
        <item x="59"/>
        <item x="113"/>
        <item x="129"/>
        <item x="13"/>
        <item x="90"/>
        <item x="51"/>
        <item x="76"/>
        <item x="4"/>
        <item x="14"/>
        <item x="18"/>
        <item x="62"/>
        <item x="144"/>
        <item x="164"/>
        <item x="151"/>
        <item x="28"/>
        <item x="127"/>
        <item x="132"/>
        <item x="41"/>
        <item x="85"/>
        <item x="30"/>
        <item x="123"/>
        <item x="112"/>
        <item x="86"/>
        <item x="83"/>
        <item x="160"/>
        <item x="24"/>
        <item x="19"/>
        <item x="68"/>
        <item x="40"/>
        <item x="96"/>
        <item x="94"/>
        <item x="170"/>
        <item x="35"/>
        <item x="169"/>
        <item x="58"/>
        <item x="108"/>
        <item x="3"/>
        <item x="119"/>
        <item x="138"/>
        <item x="87"/>
        <item x="16"/>
        <item x="57"/>
        <item x="64"/>
        <item x="149"/>
        <item x="121"/>
        <item x="44"/>
        <item x="135"/>
        <item x="131"/>
        <item x="111"/>
        <item x="42"/>
        <item x="143"/>
        <item x="27"/>
        <item x="153"/>
        <item x="159"/>
        <item x="166"/>
        <item x="98"/>
        <item x="5"/>
        <item x="167"/>
        <item x="101"/>
        <item x="118"/>
        <item x="171"/>
        <item x="148"/>
        <item x="77"/>
        <item x="89"/>
        <item x="56"/>
        <item x="137"/>
        <item x="105"/>
        <item x="114"/>
        <item x="46"/>
        <item x="26"/>
        <item x="55"/>
        <item x="106"/>
        <item x="60"/>
        <item x="65"/>
        <item x="146"/>
        <item x="154"/>
        <item x="49"/>
        <item x="128"/>
        <item x="161"/>
        <item x="31"/>
        <item x="115"/>
        <item x="9"/>
        <item x="81"/>
        <item x="61"/>
        <item x="25"/>
        <item x="75"/>
        <item x="73"/>
        <item x="92"/>
        <item x="155"/>
        <item x="142"/>
        <item x="11"/>
        <item x="100"/>
        <item x="2"/>
        <item x="116"/>
        <item x="84"/>
        <item x="66"/>
        <item x="124"/>
        <item x="110"/>
        <item x="20"/>
        <item x="141"/>
        <item x="29"/>
        <item x="95"/>
        <item x="71"/>
        <item x="88"/>
        <item x="12"/>
        <item x="97"/>
        <item x="172"/>
        <item x="74"/>
        <item x="63"/>
        <item x="133"/>
        <item x="136"/>
        <item x="80"/>
        <item x="67"/>
        <item x="33"/>
        <item x="82"/>
        <item x="36"/>
        <item x="21"/>
        <item x="152"/>
        <item x="104"/>
        <item x="78"/>
        <item x="91"/>
        <item x="52"/>
        <item x="147"/>
        <item x="0"/>
        <item x="130"/>
        <item x="99"/>
        <item x="53"/>
        <item x="158"/>
        <item x="50"/>
        <item x="47"/>
        <item x="8"/>
        <item x="102"/>
        <item x="140"/>
        <item x="134"/>
        <item x="165"/>
        <item x="70"/>
        <item x="54"/>
        <item x="120"/>
        <item x="79"/>
        <item x="23"/>
        <item x="69"/>
        <item t="default"/>
      </items>
    </pivotField>
    <pivotField showAll="0"/>
    <pivotField showAll="0">
      <items count="9">
        <item x="7"/>
        <item x="5"/>
        <item x="2"/>
        <item x="0"/>
        <item x="3"/>
        <item x="6"/>
        <item x="1"/>
        <item x="4"/>
        <item t="default"/>
      </items>
    </pivotField>
    <pivotField axis="axisRow" showAll="0" sortType="descending">
      <items count="7">
        <item x="5"/>
        <item x="0"/>
        <item x="4"/>
        <item x="3"/>
        <item x="2"/>
        <item x="1"/>
        <item t="default"/>
      </items>
      <autoSortScope>
        <pivotArea dataOnly="0" outline="0" fieldPosition="0">
          <references count="1">
            <reference field="4294967294" count="1" selected="0">
              <x v="0"/>
            </reference>
          </references>
        </pivotArea>
      </autoSortScope>
    </pivotField>
    <pivotField showAll="0">
      <items count="33">
        <item x="10"/>
        <item x="22"/>
        <item x="25"/>
        <item x="9"/>
        <item x="4"/>
        <item x="5"/>
        <item x="13"/>
        <item x="23"/>
        <item x="19"/>
        <item x="27"/>
        <item x="8"/>
        <item x="7"/>
        <item x="2"/>
        <item x="20"/>
        <item x="31"/>
        <item x="18"/>
        <item x="11"/>
        <item x="26"/>
        <item x="24"/>
        <item x="0"/>
        <item x="14"/>
        <item x="28"/>
        <item x="16"/>
        <item x="15"/>
        <item x="29"/>
        <item x="12"/>
        <item x="17"/>
        <item x="6"/>
        <item x="21"/>
        <item x="30"/>
        <item x="1"/>
        <item x="3"/>
        <item t="default"/>
      </items>
    </pivotField>
    <pivotField showAll="0"/>
    <pivotField showAll="0"/>
    <pivotField showAll="0">
      <items count="5">
        <item x="2"/>
        <item x="0"/>
        <item x="1"/>
        <item x="3"/>
        <item t="default"/>
      </items>
    </pivotField>
    <pivotField showAll="0">
      <items count="7">
        <item x="3"/>
        <item x="2"/>
        <item x="5"/>
        <item x="1"/>
        <item x="4"/>
        <item x="0"/>
        <item t="default"/>
      </items>
    </pivotField>
    <pivotField dataField="1" showAll="0">
      <items count="232">
        <item x="135"/>
        <item x="126"/>
        <item x="229"/>
        <item x="150"/>
        <item x="76"/>
        <item x="38"/>
        <item x="21"/>
        <item x="201"/>
        <item x="130"/>
        <item x="158"/>
        <item x="127"/>
        <item x="141"/>
        <item x="79"/>
        <item x="101"/>
        <item x="14"/>
        <item x="42"/>
        <item x="75"/>
        <item x="121"/>
        <item x="188"/>
        <item x="140"/>
        <item x="161"/>
        <item x="24"/>
        <item x="56"/>
        <item x="172"/>
        <item x="153"/>
        <item x="179"/>
        <item x="20"/>
        <item x="111"/>
        <item x="54"/>
        <item x="228"/>
        <item x="191"/>
        <item x="58"/>
        <item x="208"/>
        <item x="77"/>
        <item x="132"/>
        <item x="181"/>
        <item x="52"/>
        <item x="170"/>
        <item x="216"/>
        <item x="89"/>
        <item x="47"/>
        <item x="138"/>
        <item x="41"/>
        <item x="46"/>
        <item x="66"/>
        <item x="166"/>
        <item x="157"/>
        <item x="45"/>
        <item x="129"/>
        <item x="36"/>
        <item x="149"/>
        <item x="44"/>
        <item x="195"/>
        <item x="110"/>
        <item x="128"/>
        <item x="154"/>
        <item x="159"/>
        <item x="175"/>
        <item x="211"/>
        <item x="26"/>
        <item x="8"/>
        <item x="207"/>
        <item x="196"/>
        <item x="74"/>
        <item x="183"/>
        <item x="148"/>
        <item x="204"/>
        <item x="39"/>
        <item x="214"/>
        <item x="123"/>
        <item x="17"/>
        <item x="90"/>
        <item x="109"/>
        <item x="165"/>
        <item x="51"/>
        <item x="218"/>
        <item x="95"/>
        <item x="48"/>
        <item x="28"/>
        <item x="224"/>
        <item x="59"/>
        <item x="85"/>
        <item x="5"/>
        <item x="35"/>
        <item x="93"/>
        <item x="103"/>
        <item x="102"/>
        <item x="171"/>
        <item x="143"/>
        <item x="169"/>
        <item x="139"/>
        <item x="105"/>
        <item x="82"/>
        <item x="152"/>
        <item x="164"/>
        <item x="227"/>
        <item x="31"/>
        <item x="53"/>
        <item x="190"/>
        <item x="32"/>
        <item x="61"/>
        <item x="187"/>
        <item x="197"/>
        <item x="10"/>
        <item x="137"/>
        <item x="4"/>
        <item x="19"/>
        <item x="78"/>
        <item x="25"/>
        <item x="210"/>
        <item x="27"/>
        <item x="37"/>
        <item x="13"/>
        <item x="96"/>
        <item x="81"/>
        <item x="184"/>
        <item x="174"/>
        <item x="60"/>
        <item x="64"/>
        <item x="219"/>
        <item x="114"/>
        <item x="3"/>
        <item x="151"/>
        <item x="9"/>
        <item x="147"/>
        <item x="84"/>
        <item x="112"/>
        <item x="120"/>
        <item x="69"/>
        <item x="163"/>
        <item x="173"/>
        <item x="220"/>
        <item x="206"/>
        <item x="144"/>
        <item x="176"/>
        <item x="192"/>
        <item x="80"/>
        <item x="55"/>
        <item x="212"/>
        <item x="115"/>
        <item x="18"/>
        <item x="221"/>
        <item x="86"/>
        <item x="168"/>
        <item x="0"/>
        <item x="217"/>
        <item x="71"/>
        <item x="178"/>
        <item x="12"/>
        <item x="15"/>
        <item x="91"/>
        <item x="203"/>
        <item x="2"/>
        <item x="124"/>
        <item x="145"/>
        <item x="185"/>
        <item x="30"/>
        <item x="6"/>
        <item x="98"/>
        <item x="108"/>
        <item x="67"/>
        <item x="202"/>
        <item x="107"/>
        <item x="43"/>
        <item x="205"/>
        <item x="119"/>
        <item x="225"/>
        <item x="49"/>
        <item x="29"/>
        <item x="133"/>
        <item x="7"/>
        <item x="180"/>
        <item x="33"/>
        <item x="182"/>
        <item x="177"/>
        <item x="160"/>
        <item x="142"/>
        <item x="213"/>
        <item x="62"/>
        <item x="92"/>
        <item x="34"/>
        <item x="162"/>
        <item x="131"/>
        <item x="116"/>
        <item x="1"/>
        <item x="68"/>
        <item x="40"/>
        <item x="189"/>
        <item x="134"/>
        <item x="65"/>
        <item x="156"/>
        <item x="167"/>
        <item x="87"/>
        <item x="99"/>
        <item x="23"/>
        <item x="63"/>
        <item x="104"/>
        <item x="209"/>
        <item x="125"/>
        <item x="22"/>
        <item x="198"/>
        <item x="200"/>
        <item x="16"/>
        <item x="94"/>
        <item x="88"/>
        <item x="11"/>
        <item x="122"/>
        <item x="136"/>
        <item x="50"/>
        <item x="73"/>
        <item x="226"/>
        <item x="70"/>
        <item x="117"/>
        <item x="113"/>
        <item x="72"/>
        <item x="155"/>
        <item x="222"/>
        <item x="97"/>
        <item x="83"/>
        <item x="194"/>
        <item x="230"/>
        <item x="118"/>
        <item x="186"/>
        <item x="223"/>
        <item x="199"/>
        <item x="100"/>
        <item x="193"/>
        <item x="146"/>
        <item x="106"/>
        <item x="215"/>
        <item x="5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v="4"/>
    </i>
    <i>
      <x v="1"/>
    </i>
    <i>
      <x/>
    </i>
    <i>
      <x v="3"/>
    </i>
    <i>
      <x v="2"/>
    </i>
    <i>
      <x v="5"/>
    </i>
    <i t="grand">
      <x/>
    </i>
  </rowItems>
  <colItems count="1">
    <i/>
  </colItems>
  <dataFields count="1">
    <dataField name="Sum of Sales" fld="10" baseField="0" baseItem="0"/>
  </dataFields>
  <formats count="1">
    <format dxfId="28">
      <pivotArea collapsedLevelsAreSubtotals="1" fieldPosition="0">
        <references count="1">
          <reference field="4" count="0"/>
        </references>
      </pivotArea>
    </format>
  </formats>
  <chartFormats count="3">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486E7D-B34B-481D-A862-73D5163B03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51:B57" firstHeaderRow="1" firstDataRow="1" firstDataCol="1"/>
  <pivotFields count="13">
    <pivotField showAll="0"/>
    <pivotField numFmtId="164" showAll="0">
      <items count="174">
        <item x="48"/>
        <item x="150"/>
        <item x="15"/>
        <item x="156"/>
        <item x="125"/>
        <item x="162"/>
        <item x="168"/>
        <item x="107"/>
        <item x="10"/>
        <item x="126"/>
        <item x="39"/>
        <item x="45"/>
        <item x="32"/>
        <item x="37"/>
        <item x="117"/>
        <item x="145"/>
        <item x="22"/>
        <item x="7"/>
        <item x="34"/>
        <item x="38"/>
        <item x="6"/>
        <item x="109"/>
        <item x="157"/>
        <item x="93"/>
        <item x="103"/>
        <item x="122"/>
        <item x="1"/>
        <item x="17"/>
        <item x="139"/>
        <item x="43"/>
        <item x="72"/>
        <item x="163"/>
        <item x="59"/>
        <item x="113"/>
        <item x="129"/>
        <item x="13"/>
        <item x="90"/>
        <item x="51"/>
        <item x="76"/>
        <item x="4"/>
        <item x="14"/>
        <item x="18"/>
        <item x="62"/>
        <item x="144"/>
        <item x="164"/>
        <item x="151"/>
        <item x="28"/>
        <item x="127"/>
        <item x="132"/>
        <item x="41"/>
        <item x="85"/>
        <item x="30"/>
        <item x="123"/>
        <item x="112"/>
        <item x="86"/>
        <item x="83"/>
        <item x="160"/>
        <item x="24"/>
        <item x="19"/>
        <item x="68"/>
        <item x="40"/>
        <item x="96"/>
        <item x="94"/>
        <item x="170"/>
        <item x="35"/>
        <item x="169"/>
        <item x="58"/>
        <item x="108"/>
        <item x="3"/>
        <item x="119"/>
        <item x="138"/>
        <item x="87"/>
        <item x="16"/>
        <item x="57"/>
        <item x="64"/>
        <item x="149"/>
        <item x="121"/>
        <item x="44"/>
        <item x="135"/>
        <item x="131"/>
        <item x="111"/>
        <item x="42"/>
        <item x="143"/>
        <item x="27"/>
        <item x="153"/>
        <item x="159"/>
        <item x="166"/>
        <item x="98"/>
        <item x="5"/>
        <item x="167"/>
        <item x="101"/>
        <item x="118"/>
        <item x="171"/>
        <item x="148"/>
        <item x="77"/>
        <item x="89"/>
        <item x="56"/>
        <item x="137"/>
        <item x="105"/>
        <item x="114"/>
        <item x="46"/>
        <item x="26"/>
        <item x="55"/>
        <item x="106"/>
        <item x="60"/>
        <item x="65"/>
        <item x="146"/>
        <item x="154"/>
        <item x="49"/>
        <item x="128"/>
        <item x="161"/>
        <item x="31"/>
        <item x="115"/>
        <item x="9"/>
        <item x="81"/>
        <item x="61"/>
        <item x="25"/>
        <item x="75"/>
        <item x="73"/>
        <item x="92"/>
        <item x="155"/>
        <item x="142"/>
        <item x="11"/>
        <item x="100"/>
        <item x="2"/>
        <item x="116"/>
        <item x="84"/>
        <item x="66"/>
        <item x="124"/>
        <item x="110"/>
        <item x="20"/>
        <item x="141"/>
        <item x="29"/>
        <item x="95"/>
        <item x="71"/>
        <item x="88"/>
        <item x="12"/>
        <item x="97"/>
        <item x="172"/>
        <item x="74"/>
        <item x="63"/>
        <item x="133"/>
        <item x="136"/>
        <item x="80"/>
        <item x="67"/>
        <item x="33"/>
        <item x="82"/>
        <item x="36"/>
        <item x="21"/>
        <item x="152"/>
        <item x="104"/>
        <item x="78"/>
        <item x="91"/>
        <item x="52"/>
        <item x="147"/>
        <item x="0"/>
        <item x="130"/>
        <item x="99"/>
        <item x="53"/>
        <item x="158"/>
        <item x="50"/>
        <item x="47"/>
        <item x="8"/>
        <item x="102"/>
        <item x="140"/>
        <item x="134"/>
        <item x="165"/>
        <item x="70"/>
        <item x="54"/>
        <item x="120"/>
        <item x="79"/>
        <item x="23"/>
        <item x="69"/>
        <item t="default"/>
      </items>
    </pivotField>
    <pivotField showAll="0"/>
    <pivotField showAll="0">
      <items count="9">
        <item x="7"/>
        <item x="5"/>
        <item x="2"/>
        <item x="0"/>
        <item x="3"/>
        <item x="6"/>
        <item x="1"/>
        <item x="4"/>
        <item t="default"/>
      </items>
    </pivotField>
    <pivotField showAll="0">
      <items count="7">
        <item x="5"/>
        <item x="0"/>
        <item x="4"/>
        <item x="3"/>
        <item x="2"/>
        <item x="1"/>
        <item t="default"/>
      </items>
    </pivotField>
    <pivotField axis="axisRow" showAll="0" measureFilter="1" sortType="descending">
      <items count="33">
        <item x="10"/>
        <item x="22"/>
        <item x="25"/>
        <item x="9"/>
        <item x="4"/>
        <item x="5"/>
        <item x="13"/>
        <item x="23"/>
        <item x="19"/>
        <item x="27"/>
        <item x="8"/>
        <item x="7"/>
        <item x="2"/>
        <item x="20"/>
        <item x="31"/>
        <item x="18"/>
        <item x="11"/>
        <item x="26"/>
        <item x="24"/>
        <item x="0"/>
        <item x="14"/>
        <item x="28"/>
        <item x="16"/>
        <item x="15"/>
        <item x="29"/>
        <item x="12"/>
        <item x="17"/>
        <item x="6"/>
        <item x="21"/>
        <item x="30"/>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1"/>
        <item x="3"/>
        <item t="default"/>
      </items>
    </pivotField>
    <pivotField showAll="0">
      <items count="7">
        <item x="3"/>
        <item x="2"/>
        <item x="5"/>
        <item x="1"/>
        <item x="4"/>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16"/>
    </i>
    <i>
      <x v="8"/>
    </i>
    <i>
      <x v="19"/>
    </i>
    <i>
      <x v="30"/>
    </i>
    <i>
      <x v="11"/>
    </i>
    <i t="grand">
      <x/>
    </i>
  </rowItems>
  <colItems count="1">
    <i/>
  </colItems>
  <dataFields count="1">
    <dataField name="Sum of Sales" fld="10"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73CB61-D65B-4025-9F8E-B6CAFDB15B5C}" sourceName="Category">
  <pivotTables>
    <pivotTable tabId="6" name="PivotTable1"/>
    <pivotTable tabId="6" name="PivotTable2"/>
    <pivotTable tabId="6" name="PivotTable3"/>
    <pivotTable tabId="6" name="PivotTable4"/>
    <pivotTable tabId="6" name="PivotTable6"/>
  </pivotTables>
  <data>
    <tabular pivotCacheId="1463102615">
      <items count="6">
        <i x="5" s="1"/>
        <i x="0"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76F9798-4465-4427-91F5-844A1FBB4B71}" sourceName="City">
  <pivotTables>
    <pivotTable tabId="6" name="PivotTable3"/>
    <pivotTable tabId="6" name="PivotTable1"/>
    <pivotTable tabId="6" name="PivotTable2"/>
    <pivotTable tabId="6" name="PivotTable4"/>
    <pivotTable tabId="6" name="PivotTable6"/>
  </pivotTables>
  <data>
    <tabular pivotCacheId="1463102615">
      <items count="8">
        <i x="7" s="1"/>
        <i x="5" s="1"/>
        <i x="2" s="1"/>
        <i x="0" s="1"/>
        <i x="3" s="1"/>
        <i x="6"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73AA44F-DB64-469A-8BDB-EF551783B979}" sourceName="Salesperson">
  <pivotTables>
    <pivotTable tabId="6" name="PivotTable4"/>
    <pivotTable tabId="6" name="PivotTable1"/>
    <pivotTable tabId="6" name="PivotTable2"/>
    <pivotTable tabId="6" name="PivotTable3"/>
    <pivotTable tabId="6" name="PivotTable6"/>
  </pivotTables>
  <data>
    <tabular pivotCacheId="1463102615">
      <items count="6">
        <i x="3" s="1"/>
        <i x="2" s="1"/>
        <i x="5"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400679A-1E22-4A1A-A218-26936E9E8C88}" sourceName="Months (Order Date)">
  <pivotTables>
    <pivotTable tabId="6" name="PivotTable2"/>
    <pivotTable tabId="6" name="PivotTable1"/>
    <pivotTable tabId="6" name="PivotTable3"/>
    <pivotTable tabId="6" name="PivotTable4"/>
    <pivotTable tabId="6" name="PivotTable6"/>
  </pivotTables>
  <data>
    <tabular pivotCacheId="1463102615">
      <items count="14">
        <i x="4" s="1"/>
        <i x="5" s="1"/>
        <i x="6" s="1"/>
        <i x="7" s="1"/>
        <i x="8" s="1"/>
        <i x="9" s="1"/>
        <i x="1" s="1" nd="1"/>
        <i x="2" s="1" nd="1"/>
        <i x="3" s="1" nd="1"/>
        <i x="10" s="1" nd="1"/>
        <i x="11" s="1" nd="1"/>
        <i x="12"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8AE92E-6588-4CF2-918D-439205E35BF8}" sourceName="Product">
  <pivotTables>
    <pivotTable tabId="6" name="PivotTable6"/>
    <pivotTable tabId="6" name="PivotTable1"/>
    <pivotTable tabId="6" name="PivotTable2"/>
    <pivotTable tabId="6" name="PivotTable3"/>
    <pivotTable tabId="6" name="PivotTable4"/>
  </pivotTables>
  <data>
    <tabular pivotCacheId="1463102615">
      <items count="32">
        <i x="10" s="1"/>
        <i x="22" s="1"/>
        <i x="25" s="1"/>
        <i x="9" s="1"/>
        <i x="4" s="1"/>
        <i x="5" s="1"/>
        <i x="13" s="1"/>
        <i x="23" s="1"/>
        <i x="19" s="1"/>
        <i x="27" s="1"/>
        <i x="8" s="1"/>
        <i x="7" s="1"/>
        <i x="2" s="1"/>
        <i x="20" s="1"/>
        <i x="31" s="1"/>
        <i x="18" s="1"/>
        <i x="11" s="1"/>
        <i x="26" s="1"/>
        <i x="24" s="1"/>
        <i x="0" s="1"/>
        <i x="14" s="1"/>
        <i x="28" s="1"/>
        <i x="16" s="1"/>
        <i x="15" s="1"/>
        <i x="29" s="1"/>
        <i x="12" s="1"/>
        <i x="17" s="1"/>
        <i x="6" s="1"/>
        <i x="21" s="1"/>
        <i x="3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38E9D5D-50DF-48B9-8336-CBFB98306A25}" sourceName="Payment Mode">
  <pivotTables>
    <pivotTable tabId="6" name="PivotTable6"/>
    <pivotTable tabId="6" name="PivotTable1"/>
    <pivotTable tabId="6" name="PivotTable2"/>
    <pivotTable tabId="6" name="PivotTable3"/>
    <pivotTable tabId="6" name="PivotTable4"/>
  </pivotTables>
  <data>
    <tabular pivotCacheId="146310261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767255F-DD19-4A92-B929-6B8F139C8121}" cache="Slicer_Category" caption="Category" style="SlicerStyleLight5" rowHeight="273050"/>
  <slicer name="City" xr10:uid="{8770EAE8-B8DD-4A58-8ECC-4743EBADB921}" cache="Slicer_City" caption="City" style="SlicerStyleLight5" rowHeight="273050"/>
  <slicer name="Salesperson" xr10:uid="{1DED0000-3951-4375-9508-944154DE34B3}" cache="Slicer_Salesperson" caption="Salesperson" style="SlicerStyleLight5" rowHeight="273050"/>
  <slicer name="Months (Order Date)" xr10:uid="{1318D544-DFE9-4931-B657-94C15EB13F97}" cache="Slicer_Months__Order_Date" caption="Months (Order Date)" style="SlicerStyleLight5" rowHeight="273050"/>
  <slicer name="Product" xr10:uid="{0C9B381D-2DD8-4871-A669-65C98AABAD04}" cache="Slicer_Product" caption="Product" startItem="19" style="SlicerStyleLight5" rowHeight="273050"/>
  <slicer name="Payment Mode" xr10:uid="{2951434E-1756-41A7-B6E5-1E7CBF4A3DEB}" cache="Slicer_Payment_Mode" caption="Payment Mode" style="SlicerStyleLight5"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9A1E5BE-4456-40BD-AAF9-3B22BB29C3EC}" cache="Slicer_Category" caption="Category" style="SlicerStyleDark5" rowHeight="273050"/>
  <slicer name="City 1" xr10:uid="{91AE8256-D03B-43B4-8294-42C50AAFDB9F}" cache="Slicer_City" caption="City" style="SlicerStyleDark5" rowHeight="273050"/>
  <slicer name="Salesperson 1" xr10:uid="{9C2C1528-DC03-40B6-B7AA-E59E91E932A5}" cache="Slicer_Salesperson" caption="Salesperson" style="SlicerStyleDark5" rowHeight="273050"/>
  <slicer name="Months (Order Date) 1" xr10:uid="{15B64FB9-A019-46B6-AE29-7BF837A0EE1E}" cache="Slicer_Months__Order_Date" caption="Months (Order Date)" style="SlicerStyleDark5" rowHeight="273050"/>
  <slicer name="Payment Mode 1" xr10:uid="{0EB7022F-10FF-4034-9D56-82E40C2920B6}" cache="Slicer_Payment_Mode" caption="Payment Mode" style="SlicerStyleDark5"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A2880-3207-4C0F-8B6C-0D8FD51BE1F8}" name="Table1" displayName="Table1" ref="A1:K501" totalsRowShown="0" headerRowDxfId="27" dataDxfId="25" headerRowBorderDxfId="26" tableBorderDxfId="24">
  <tableColumns count="11">
    <tableColumn id="1" xr3:uid="{E9E47793-F390-450C-A550-8642A56726DA}" name="Order ID" dataDxfId="23" totalsRowDxfId="22"/>
    <tableColumn id="2" xr3:uid="{3645CD4B-E818-492B-AC8E-DC7AC2A350ED}" name="Order Date" dataDxfId="21" totalsRowDxfId="20"/>
    <tableColumn id="3" xr3:uid="{98FB5C22-FD27-453A-A71D-2CFC1FF91AA7}" name="Customer Name" dataDxfId="19" totalsRowDxfId="18"/>
    <tableColumn id="4" xr3:uid="{CC936D98-8336-451F-A90D-0C50B64BD9E0}" name="City" dataDxfId="17" totalsRowDxfId="16"/>
    <tableColumn id="5" xr3:uid="{A0029770-DF86-4686-BD4C-0903F868648C}" name="Category" dataDxfId="15" totalsRowDxfId="14"/>
    <tableColumn id="6" xr3:uid="{24AC9848-2C23-4469-9350-E07AC0780D47}" name="Product" dataDxfId="13" totalsRowDxfId="12"/>
    <tableColumn id="7" xr3:uid="{038A588E-72FF-4E77-BFCD-7CADBB880269}" name="Quantity" dataDxfId="11" totalsRowDxfId="10"/>
    <tableColumn id="8" xr3:uid="{AA8723AF-E587-4EE6-AC34-45E8CFDD60E8}" name="Unit Price" dataDxfId="9" totalsRowDxfId="8"/>
    <tableColumn id="9" xr3:uid="{48A58AB5-9E7E-4D88-80AF-93F10B250149}" name="Payment Mode" dataDxfId="7" totalsRowDxfId="6"/>
    <tableColumn id="10" xr3:uid="{F2ED15D8-6440-4F6E-AB72-3AAED364689E}" name="Salesperson" dataDxfId="5" totalsRowDxfId="4"/>
    <tableColumn id="19" xr3:uid="{8582DEAF-B640-4D66-8075-8C792EC0E2FC}" name="Sales" dataDxfId="3" totalsRowDxfId="2">
      <calculatedColumnFormula>Table1[[#This Row],[Quantity]]*Table1[[#This Row],[Unit Price]]</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A722-B41C-4F2A-B43C-84DF85005119}">
  <dimension ref="A3:H77"/>
  <sheetViews>
    <sheetView topLeftCell="A25" workbookViewId="0">
      <selection activeCell="B4" sqref="B4:B9"/>
    </sheetView>
  </sheetViews>
  <sheetFormatPr defaultRowHeight="16" x14ac:dyDescent="0.4"/>
  <cols>
    <col min="1" max="1" width="12.1640625" bestFit="1" customWidth="1"/>
    <col min="2" max="2" width="11.33203125" bestFit="1" customWidth="1"/>
    <col min="3" max="3" width="16.1640625" bestFit="1" customWidth="1"/>
    <col min="4" max="4" width="10.58203125" bestFit="1" customWidth="1"/>
    <col min="5" max="5" width="10.75" bestFit="1" customWidth="1"/>
    <col min="6" max="6" width="13" bestFit="1" customWidth="1"/>
    <col min="7" max="7" width="8.4140625" bestFit="1" customWidth="1"/>
    <col min="8" max="8" width="13.33203125" bestFit="1" customWidth="1"/>
    <col min="9" max="9" width="8.75" bestFit="1" customWidth="1"/>
    <col min="10" max="10" width="10.75" bestFit="1" customWidth="1"/>
    <col min="11" max="11" width="4.75" bestFit="1" customWidth="1"/>
    <col min="12" max="12" width="9" bestFit="1" customWidth="1"/>
    <col min="13" max="13" width="11.33203125" bestFit="1" customWidth="1"/>
    <col min="14" max="14" width="8.58203125" bestFit="1" customWidth="1"/>
    <col min="15" max="15" width="11.75" bestFit="1" customWidth="1"/>
    <col min="16" max="16" width="9.6640625" bestFit="1" customWidth="1"/>
    <col min="17" max="17" width="8.83203125" bestFit="1" customWidth="1"/>
    <col min="18" max="18" width="10.58203125" bestFit="1" customWidth="1"/>
    <col min="19" max="19" width="7" bestFit="1" customWidth="1"/>
    <col min="20" max="20" width="10.33203125" bestFit="1" customWidth="1"/>
    <col min="21" max="21" width="11.5" bestFit="1" customWidth="1"/>
    <col min="22" max="22" width="9.25" bestFit="1" customWidth="1"/>
    <col min="23" max="23" width="11.1640625" bestFit="1" customWidth="1"/>
    <col min="24" max="24" width="10.4140625" bestFit="1" customWidth="1"/>
    <col min="25" max="26" width="10.25" bestFit="1" customWidth="1"/>
    <col min="27" max="27" width="11.4140625" bestFit="1" customWidth="1"/>
    <col min="28" max="28" width="9.4140625" bestFit="1" customWidth="1"/>
    <col min="29" max="29" width="9.75" bestFit="1" customWidth="1"/>
    <col min="30" max="30" width="6.25" bestFit="1" customWidth="1"/>
    <col min="31" max="31" width="11.08203125" bestFit="1" customWidth="1"/>
    <col min="32" max="32" width="8.08203125" bestFit="1" customWidth="1"/>
    <col min="33" max="33" width="13.9140625" bestFit="1" customWidth="1"/>
    <col min="34" max="34" width="10.33203125" bestFit="1" customWidth="1"/>
  </cols>
  <sheetData>
    <row r="3" spans="1:2" x14ac:dyDescent="0.4">
      <c r="A3" s="6" t="s">
        <v>599</v>
      </c>
      <c r="B3" t="s">
        <v>601</v>
      </c>
    </row>
    <row r="4" spans="1:2" x14ac:dyDescent="0.4">
      <c r="A4" s="7" t="s">
        <v>79</v>
      </c>
      <c r="B4" s="15">
        <v>654125</v>
      </c>
    </row>
    <row r="5" spans="1:2" x14ac:dyDescent="0.4">
      <c r="A5" s="7" t="s">
        <v>10</v>
      </c>
      <c r="B5" s="15">
        <v>647800</v>
      </c>
    </row>
    <row r="6" spans="1:2" x14ac:dyDescent="0.4">
      <c r="A6" s="7" t="s">
        <v>86</v>
      </c>
      <c r="B6" s="15">
        <v>256665</v>
      </c>
    </row>
    <row r="7" spans="1:2" x14ac:dyDescent="0.4">
      <c r="A7" s="7" t="s">
        <v>23</v>
      </c>
      <c r="B7" s="15">
        <v>206155</v>
      </c>
    </row>
    <row r="8" spans="1:2" x14ac:dyDescent="0.4">
      <c r="A8" s="7" t="s">
        <v>83</v>
      </c>
      <c r="B8" s="15">
        <v>84482.5</v>
      </c>
    </row>
    <row r="9" spans="1:2" x14ac:dyDescent="0.4">
      <c r="A9" s="7" t="s">
        <v>16</v>
      </c>
      <c r="B9" s="15">
        <v>32472.5</v>
      </c>
    </row>
    <row r="10" spans="1:2" x14ac:dyDescent="0.4">
      <c r="A10" s="7" t="s">
        <v>600</v>
      </c>
      <c r="B10">
        <v>1881700</v>
      </c>
    </row>
    <row r="18" spans="1:2" x14ac:dyDescent="0.4">
      <c r="A18" s="6" t="s">
        <v>599</v>
      </c>
      <c r="B18" t="s">
        <v>601</v>
      </c>
    </row>
    <row r="19" spans="1:2" x14ac:dyDescent="0.4">
      <c r="A19" s="7" t="s">
        <v>8</v>
      </c>
      <c r="B19">
        <v>185753.5</v>
      </c>
    </row>
    <row r="20" spans="1:2" x14ac:dyDescent="0.4">
      <c r="A20" s="7" t="s">
        <v>17</v>
      </c>
      <c r="B20">
        <v>272428</v>
      </c>
    </row>
    <row r="21" spans="1:2" x14ac:dyDescent="0.4">
      <c r="A21" s="7" t="s">
        <v>21</v>
      </c>
      <c r="B21">
        <v>250549</v>
      </c>
    </row>
    <row r="22" spans="1:2" x14ac:dyDescent="0.4">
      <c r="A22" s="7" t="s">
        <v>14</v>
      </c>
      <c r="B22">
        <v>212458</v>
      </c>
    </row>
    <row r="23" spans="1:2" x14ac:dyDescent="0.4">
      <c r="A23" s="7" t="s">
        <v>25</v>
      </c>
      <c r="B23">
        <v>240067</v>
      </c>
    </row>
    <row r="24" spans="1:2" x14ac:dyDescent="0.4">
      <c r="A24" s="7" t="s">
        <v>12</v>
      </c>
      <c r="B24">
        <v>214389.5</v>
      </c>
    </row>
    <row r="25" spans="1:2" x14ac:dyDescent="0.4">
      <c r="A25" s="7" t="s">
        <v>24</v>
      </c>
      <c r="B25">
        <v>258164</v>
      </c>
    </row>
    <row r="26" spans="1:2" x14ac:dyDescent="0.4">
      <c r="A26" s="7" t="s">
        <v>22</v>
      </c>
      <c r="B26">
        <v>247891</v>
      </c>
    </row>
    <row r="27" spans="1:2" x14ac:dyDescent="0.4">
      <c r="A27" s="7" t="s">
        <v>600</v>
      </c>
      <c r="B27">
        <v>1881700</v>
      </c>
    </row>
    <row r="34" spans="1:2" x14ac:dyDescent="0.4">
      <c r="A34" s="6" t="s">
        <v>599</v>
      </c>
      <c r="B34" t="s">
        <v>601</v>
      </c>
    </row>
    <row r="35" spans="1:2" x14ac:dyDescent="0.4">
      <c r="A35" s="7" t="s">
        <v>33</v>
      </c>
      <c r="B35">
        <v>429190</v>
      </c>
    </row>
    <row r="36" spans="1:2" x14ac:dyDescent="0.4">
      <c r="A36" s="7" t="s">
        <v>37</v>
      </c>
      <c r="B36">
        <v>393657</v>
      </c>
    </row>
    <row r="37" spans="1:2" x14ac:dyDescent="0.4">
      <c r="A37" s="7" t="s">
        <v>73</v>
      </c>
      <c r="B37">
        <v>308202.5</v>
      </c>
    </row>
    <row r="38" spans="1:2" x14ac:dyDescent="0.4">
      <c r="A38" s="7" t="s">
        <v>75</v>
      </c>
      <c r="B38">
        <v>296050.5</v>
      </c>
    </row>
    <row r="39" spans="1:2" x14ac:dyDescent="0.4">
      <c r="A39" s="7" t="s">
        <v>81</v>
      </c>
      <c r="B39">
        <v>232925</v>
      </c>
    </row>
    <row r="40" spans="1:2" x14ac:dyDescent="0.4">
      <c r="A40" s="7" t="s">
        <v>30</v>
      </c>
      <c r="B40">
        <v>221675</v>
      </c>
    </row>
    <row r="41" spans="1:2" x14ac:dyDescent="0.4">
      <c r="A41" s="7" t="s">
        <v>600</v>
      </c>
      <c r="B41">
        <v>1881700</v>
      </c>
    </row>
    <row r="51" spans="1:2" x14ac:dyDescent="0.4">
      <c r="A51" s="6" t="s">
        <v>599</v>
      </c>
      <c r="B51" t="s">
        <v>601</v>
      </c>
    </row>
    <row r="52" spans="1:2" x14ac:dyDescent="0.4">
      <c r="A52" s="7" t="s">
        <v>88</v>
      </c>
      <c r="B52">
        <v>353600</v>
      </c>
    </row>
    <row r="53" spans="1:2" x14ac:dyDescent="0.4">
      <c r="A53" s="7" t="s">
        <v>105</v>
      </c>
      <c r="B53">
        <v>173880</v>
      </c>
    </row>
    <row r="54" spans="1:2" x14ac:dyDescent="0.4">
      <c r="A54" s="7" t="s">
        <v>72</v>
      </c>
      <c r="B54">
        <v>172200</v>
      </c>
    </row>
    <row r="55" spans="1:2" x14ac:dyDescent="0.4">
      <c r="A55" s="7" t="s">
        <v>68</v>
      </c>
      <c r="B55">
        <v>133125</v>
      </c>
    </row>
    <row r="56" spans="1:2" x14ac:dyDescent="0.4">
      <c r="A56" s="7" t="s">
        <v>42</v>
      </c>
      <c r="B56">
        <v>117900</v>
      </c>
    </row>
    <row r="57" spans="1:2" x14ac:dyDescent="0.4">
      <c r="A57" s="7" t="s">
        <v>600</v>
      </c>
      <c r="B57">
        <v>950705</v>
      </c>
    </row>
    <row r="70" spans="1:8" x14ac:dyDescent="0.4">
      <c r="A70" s="6" t="s">
        <v>599</v>
      </c>
      <c r="B70" t="s">
        <v>601</v>
      </c>
    </row>
    <row r="71" spans="1:8" x14ac:dyDescent="0.4">
      <c r="A71" s="7" t="s">
        <v>602</v>
      </c>
      <c r="B71">
        <v>296965.5</v>
      </c>
      <c r="H71" s="8"/>
    </row>
    <row r="72" spans="1:8" x14ac:dyDescent="0.4">
      <c r="A72" s="7" t="s">
        <v>603</v>
      </c>
      <c r="B72">
        <v>268237.5</v>
      </c>
    </row>
    <row r="73" spans="1:8" x14ac:dyDescent="0.4">
      <c r="A73" s="7" t="s">
        <v>604</v>
      </c>
      <c r="B73">
        <v>279489</v>
      </c>
    </row>
    <row r="74" spans="1:8" x14ac:dyDescent="0.4">
      <c r="A74" s="7" t="s">
        <v>605</v>
      </c>
      <c r="B74">
        <v>431606</v>
      </c>
    </row>
    <row r="75" spans="1:8" x14ac:dyDescent="0.4">
      <c r="A75" s="7" t="s">
        <v>606</v>
      </c>
      <c r="B75">
        <v>277725</v>
      </c>
    </row>
    <row r="76" spans="1:8" x14ac:dyDescent="0.4">
      <c r="A76" s="7" t="s">
        <v>607</v>
      </c>
      <c r="B76">
        <v>327677</v>
      </c>
    </row>
    <row r="77" spans="1:8" x14ac:dyDescent="0.4">
      <c r="A77" s="7" t="s">
        <v>600</v>
      </c>
      <c r="B77">
        <v>1881700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C1C0A-8FC2-4AD5-96F5-0FD44551F403}">
  <dimension ref="A1:L506"/>
  <sheetViews>
    <sheetView topLeftCell="A482" zoomScale="81" workbookViewId="0">
      <selection activeCell="K503" sqref="K503"/>
    </sheetView>
  </sheetViews>
  <sheetFormatPr defaultRowHeight="16" x14ac:dyDescent="0.4"/>
  <cols>
    <col min="1" max="1" width="9.5" customWidth="1"/>
    <col min="2" max="2" width="16.25" style="5" bestFit="1" customWidth="1"/>
    <col min="3" max="3" width="16" customWidth="1"/>
    <col min="4" max="4" width="9.5" bestFit="1" customWidth="1"/>
    <col min="5" max="5" width="10" customWidth="1"/>
    <col min="6" max="6" width="13.5" bestFit="1" customWidth="1"/>
    <col min="7" max="7" width="9.83203125" customWidth="1"/>
    <col min="8" max="8" width="10.6640625" customWidth="1"/>
    <col min="9" max="9" width="14.83203125" customWidth="1"/>
    <col min="10" max="10" width="12.9140625" customWidth="1"/>
    <col min="11" max="11" width="22.08203125" customWidth="1"/>
    <col min="12" max="19" width="10.1640625" customWidth="1"/>
    <col min="20" max="109" width="11.1640625" customWidth="1"/>
    <col min="110" max="1009" width="12.1640625" customWidth="1"/>
    <col min="1010" max="10009" width="13.1640625" customWidth="1"/>
    <col min="10010" max="16384" width="14.1640625" customWidth="1"/>
  </cols>
  <sheetData>
    <row r="1" spans="1:11" ht="16.5" thickBot="1" x14ac:dyDescent="0.45">
      <c r="A1" s="2" t="s">
        <v>0</v>
      </c>
      <c r="B1" s="4" t="s">
        <v>1</v>
      </c>
      <c r="C1" s="2" t="s">
        <v>2</v>
      </c>
      <c r="D1" s="2" t="s">
        <v>3</v>
      </c>
      <c r="E1" s="2" t="s">
        <v>5</v>
      </c>
      <c r="F1" s="2" t="s">
        <v>4</v>
      </c>
      <c r="G1" s="2" t="s">
        <v>6</v>
      </c>
      <c r="H1" s="2" t="s">
        <v>7</v>
      </c>
      <c r="I1" s="2" t="s">
        <v>26</v>
      </c>
      <c r="J1" s="2" t="s">
        <v>27</v>
      </c>
      <c r="K1" s="2" t="s">
        <v>595</v>
      </c>
    </row>
    <row r="2" spans="1:11" x14ac:dyDescent="0.4">
      <c r="A2" s="1" t="s">
        <v>28</v>
      </c>
      <c r="B2" s="3">
        <v>46276</v>
      </c>
      <c r="C2" s="1" t="s">
        <v>50</v>
      </c>
      <c r="D2" s="1" t="s">
        <v>14</v>
      </c>
      <c r="E2" s="1" t="s">
        <v>10</v>
      </c>
      <c r="F2" s="1" t="s">
        <v>72</v>
      </c>
      <c r="G2" s="1">
        <v>1</v>
      </c>
      <c r="H2" s="1">
        <v>3500</v>
      </c>
      <c r="I2" s="1" t="s">
        <v>19</v>
      </c>
      <c r="J2" s="1" t="s">
        <v>73</v>
      </c>
      <c r="K2" s="1">
        <f>Table1[[#This Row],[Quantity]]*Table1[[#This Row],[Unit Price]]</f>
        <v>3500</v>
      </c>
    </row>
    <row r="3" spans="1:11" x14ac:dyDescent="0.4">
      <c r="A3" s="1" t="s">
        <v>31</v>
      </c>
      <c r="B3" s="3">
        <v>46139</v>
      </c>
      <c r="C3" s="1" t="s">
        <v>29</v>
      </c>
      <c r="D3" s="1" t="s">
        <v>24</v>
      </c>
      <c r="E3" s="1" t="s">
        <v>10</v>
      </c>
      <c r="F3" s="1" t="s">
        <v>68</v>
      </c>
      <c r="G3" s="1">
        <v>3</v>
      </c>
      <c r="H3" s="1">
        <v>2375</v>
      </c>
      <c r="I3" s="1" t="s">
        <v>19</v>
      </c>
      <c r="J3" s="1" t="s">
        <v>33</v>
      </c>
      <c r="K3" s="1">
        <f>Table1[[#This Row],[Quantity]]*Table1[[#This Row],[Unit Price]]</f>
        <v>7125</v>
      </c>
    </row>
    <row r="4" spans="1:11" x14ac:dyDescent="0.4">
      <c r="A4" s="1" t="s">
        <v>34</v>
      </c>
      <c r="B4" s="3">
        <v>46242</v>
      </c>
      <c r="C4" s="1" t="s">
        <v>67</v>
      </c>
      <c r="D4" s="1" t="s">
        <v>14</v>
      </c>
      <c r="E4" s="1" t="s">
        <v>10</v>
      </c>
      <c r="F4" s="1" t="s">
        <v>13</v>
      </c>
      <c r="G4" s="1">
        <v>3</v>
      </c>
      <c r="H4" s="1">
        <v>1320</v>
      </c>
      <c r="I4" s="1" t="s">
        <v>74</v>
      </c>
      <c r="J4" s="1" t="s">
        <v>75</v>
      </c>
      <c r="K4" s="1">
        <f>Table1[[#This Row],[Quantity]]*Table1[[#This Row],[Unit Price]]</f>
        <v>3960</v>
      </c>
    </row>
    <row r="5" spans="1:11" x14ac:dyDescent="0.4">
      <c r="A5" s="1" t="s">
        <v>38</v>
      </c>
      <c r="B5" s="3">
        <v>46184</v>
      </c>
      <c r="C5" s="1" t="s">
        <v>76</v>
      </c>
      <c r="D5" s="1" t="s">
        <v>21</v>
      </c>
      <c r="E5" s="1" t="s">
        <v>10</v>
      </c>
      <c r="F5" s="1" t="s">
        <v>9</v>
      </c>
      <c r="G5" s="1">
        <v>4</v>
      </c>
      <c r="H5" s="1">
        <v>650</v>
      </c>
      <c r="I5" s="1" t="s">
        <v>36</v>
      </c>
      <c r="J5" s="1" t="s">
        <v>37</v>
      </c>
      <c r="K5" s="1">
        <f>Table1[[#This Row],[Quantity]]*Table1[[#This Row],[Unit Price]]</f>
        <v>2600</v>
      </c>
    </row>
    <row r="6" spans="1:11" x14ac:dyDescent="0.4">
      <c r="A6" s="1" t="s">
        <v>40</v>
      </c>
      <c r="B6" s="3">
        <v>46152</v>
      </c>
      <c r="C6" s="1" t="s">
        <v>39</v>
      </c>
      <c r="D6" s="1" t="s">
        <v>24</v>
      </c>
      <c r="E6" s="1" t="s">
        <v>16</v>
      </c>
      <c r="F6" s="1" t="s">
        <v>77</v>
      </c>
      <c r="G6" s="1">
        <v>8</v>
      </c>
      <c r="H6" s="1">
        <v>250</v>
      </c>
      <c r="I6" s="1" t="s">
        <v>74</v>
      </c>
      <c r="J6" s="1" t="s">
        <v>30</v>
      </c>
      <c r="K6" s="1">
        <f>Table1[[#This Row],[Quantity]]*Table1[[#This Row],[Unit Price]]</f>
        <v>2000</v>
      </c>
    </row>
    <row r="7" spans="1:11" x14ac:dyDescent="0.4">
      <c r="A7" s="1" t="s">
        <v>43</v>
      </c>
      <c r="B7" s="3">
        <v>46204</v>
      </c>
      <c r="C7" s="1" t="s">
        <v>78</v>
      </c>
      <c r="D7" s="1" t="s">
        <v>25</v>
      </c>
      <c r="E7" s="1" t="s">
        <v>79</v>
      </c>
      <c r="F7" s="1" t="s">
        <v>80</v>
      </c>
      <c r="G7" s="1">
        <v>3</v>
      </c>
      <c r="H7" s="1">
        <v>475</v>
      </c>
      <c r="I7" s="1" t="s">
        <v>11</v>
      </c>
      <c r="J7" s="1" t="s">
        <v>81</v>
      </c>
      <c r="K7" s="1">
        <f>Table1[[#This Row],[Quantity]]*Table1[[#This Row],[Unit Price]]</f>
        <v>1425</v>
      </c>
    </row>
    <row r="8" spans="1:11" x14ac:dyDescent="0.4">
      <c r="A8" s="1" t="s">
        <v>46</v>
      </c>
      <c r="B8" s="3">
        <v>46133</v>
      </c>
      <c r="C8" s="1" t="s">
        <v>82</v>
      </c>
      <c r="D8" s="1" t="s">
        <v>22</v>
      </c>
      <c r="E8" s="1" t="s">
        <v>23</v>
      </c>
      <c r="F8" s="1" t="s">
        <v>71</v>
      </c>
      <c r="G8" s="1">
        <v>5</v>
      </c>
      <c r="H8" s="1">
        <v>880</v>
      </c>
      <c r="I8" s="1" t="s">
        <v>19</v>
      </c>
      <c r="J8" s="1" t="s">
        <v>73</v>
      </c>
      <c r="K8" s="1">
        <f>Table1[[#This Row],[Quantity]]*Table1[[#This Row],[Unit Price]]</f>
        <v>4400</v>
      </c>
    </row>
    <row r="9" spans="1:11" x14ac:dyDescent="0.4">
      <c r="A9" s="1" t="s">
        <v>49</v>
      </c>
      <c r="B9" s="3">
        <v>46130</v>
      </c>
      <c r="C9" s="1" t="s">
        <v>35</v>
      </c>
      <c r="D9" s="1" t="s">
        <v>14</v>
      </c>
      <c r="E9" s="1" t="s">
        <v>10</v>
      </c>
      <c r="F9" s="1" t="s">
        <v>42</v>
      </c>
      <c r="G9" s="1">
        <v>3</v>
      </c>
      <c r="H9" s="1">
        <v>1800</v>
      </c>
      <c r="I9" s="1" t="s">
        <v>11</v>
      </c>
      <c r="J9" s="1" t="s">
        <v>81</v>
      </c>
      <c r="K9" s="1">
        <f>Table1[[#This Row],[Quantity]]*Table1[[#This Row],[Unit Price]]</f>
        <v>5400</v>
      </c>
    </row>
    <row r="10" spans="1:11" x14ac:dyDescent="0.4">
      <c r="A10" s="1" t="s">
        <v>51</v>
      </c>
      <c r="B10" s="3">
        <v>46184</v>
      </c>
      <c r="C10" s="1" t="s">
        <v>44</v>
      </c>
      <c r="D10" s="1" t="s">
        <v>22</v>
      </c>
      <c r="E10" s="1" t="s">
        <v>83</v>
      </c>
      <c r="F10" s="1" t="s">
        <v>84</v>
      </c>
      <c r="G10" s="1">
        <v>3</v>
      </c>
      <c r="H10" s="1">
        <v>300</v>
      </c>
      <c r="I10" s="1" t="s">
        <v>36</v>
      </c>
      <c r="J10" s="1" t="s">
        <v>33</v>
      </c>
      <c r="K10" s="1">
        <f>Table1[[#This Row],[Quantity]]*Table1[[#This Row],[Unit Price]]</f>
        <v>900</v>
      </c>
    </row>
    <row r="11" spans="1:11" x14ac:dyDescent="0.4">
      <c r="A11" s="1" t="s">
        <v>54</v>
      </c>
      <c r="B11" s="3">
        <v>46284</v>
      </c>
      <c r="C11" s="1" t="s">
        <v>85</v>
      </c>
      <c r="D11" s="1" t="s">
        <v>17</v>
      </c>
      <c r="E11" s="1" t="s">
        <v>23</v>
      </c>
      <c r="F11" s="1" t="s">
        <v>62</v>
      </c>
      <c r="G11" s="1">
        <v>4</v>
      </c>
      <c r="H11" s="1">
        <v>665</v>
      </c>
      <c r="I11" s="1" t="s">
        <v>19</v>
      </c>
      <c r="J11" s="1" t="s">
        <v>33</v>
      </c>
      <c r="K11" s="1">
        <f>Table1[[#This Row],[Quantity]]*Table1[[#This Row],[Unit Price]]</f>
        <v>2660</v>
      </c>
    </row>
    <row r="12" spans="1:11" x14ac:dyDescent="0.4">
      <c r="A12" s="1" t="s">
        <v>57</v>
      </c>
      <c r="B12" s="3">
        <v>46231</v>
      </c>
      <c r="C12" s="1" t="s">
        <v>50</v>
      </c>
      <c r="D12" s="1" t="s">
        <v>22</v>
      </c>
      <c r="E12" s="1" t="s">
        <v>86</v>
      </c>
      <c r="F12" s="1" t="s">
        <v>87</v>
      </c>
      <c r="G12" s="1">
        <v>1</v>
      </c>
      <c r="H12" s="1">
        <v>1980</v>
      </c>
      <c r="I12" s="1" t="s">
        <v>11</v>
      </c>
      <c r="J12" s="1" t="s">
        <v>33</v>
      </c>
      <c r="K12" s="1">
        <f>Table1[[#This Row],[Quantity]]*Table1[[#This Row],[Unit Price]]</f>
        <v>1980</v>
      </c>
    </row>
    <row r="13" spans="1:11" x14ac:dyDescent="0.4">
      <c r="A13" s="1" t="s">
        <v>60</v>
      </c>
      <c r="B13" s="3">
        <v>46121</v>
      </c>
      <c r="C13" s="1" t="s">
        <v>47</v>
      </c>
      <c r="D13" s="1" t="s">
        <v>22</v>
      </c>
      <c r="E13" s="1" t="s">
        <v>79</v>
      </c>
      <c r="F13" s="1" t="s">
        <v>88</v>
      </c>
      <c r="G13" s="1">
        <v>2</v>
      </c>
      <c r="H13" s="1">
        <v>6175</v>
      </c>
      <c r="I13" s="1" t="s">
        <v>19</v>
      </c>
      <c r="J13" s="1" t="s">
        <v>73</v>
      </c>
      <c r="K13" s="1">
        <f>Table1[[#This Row],[Quantity]]*Table1[[#This Row],[Unit Price]]</f>
        <v>12350</v>
      </c>
    </row>
    <row r="14" spans="1:11" x14ac:dyDescent="0.4">
      <c r="A14" s="1" t="s">
        <v>63</v>
      </c>
      <c r="B14" s="3">
        <v>46240</v>
      </c>
      <c r="C14" s="1" t="s">
        <v>41</v>
      </c>
      <c r="D14" s="1" t="s">
        <v>12</v>
      </c>
      <c r="E14" s="1" t="s">
        <v>86</v>
      </c>
      <c r="F14" s="1" t="s">
        <v>89</v>
      </c>
      <c r="G14" s="1">
        <v>5</v>
      </c>
      <c r="H14" s="1">
        <v>735</v>
      </c>
      <c r="I14" s="1" t="s">
        <v>19</v>
      </c>
      <c r="J14" s="1" t="s">
        <v>33</v>
      </c>
      <c r="K14" s="1">
        <f>Table1[[#This Row],[Quantity]]*Table1[[#This Row],[Unit Price]]</f>
        <v>3675</v>
      </c>
    </row>
    <row r="15" spans="1:11" x14ac:dyDescent="0.4">
      <c r="A15" s="1" t="s">
        <v>66</v>
      </c>
      <c r="B15" s="3">
        <v>46256</v>
      </c>
      <c r="C15" s="1" t="s">
        <v>82</v>
      </c>
      <c r="D15" s="1" t="s">
        <v>21</v>
      </c>
      <c r="E15" s="1" t="s">
        <v>23</v>
      </c>
      <c r="F15" s="1" t="s">
        <v>53</v>
      </c>
      <c r="G15" s="1">
        <v>4</v>
      </c>
      <c r="H15" s="1">
        <v>577.5</v>
      </c>
      <c r="I15" s="1" t="s">
        <v>36</v>
      </c>
      <c r="J15" s="1" t="s">
        <v>33</v>
      </c>
      <c r="K15" s="1">
        <f>Table1[[#This Row],[Quantity]]*Table1[[#This Row],[Unit Price]]</f>
        <v>2310</v>
      </c>
    </row>
    <row r="16" spans="1:11" x14ac:dyDescent="0.4">
      <c r="A16" s="1" t="s">
        <v>69</v>
      </c>
      <c r="B16" s="3">
        <v>46148</v>
      </c>
      <c r="C16" s="1" t="s">
        <v>90</v>
      </c>
      <c r="D16" s="1" t="s">
        <v>24</v>
      </c>
      <c r="E16" s="1" t="s">
        <v>83</v>
      </c>
      <c r="F16" s="1" t="s">
        <v>91</v>
      </c>
      <c r="G16" s="1">
        <v>1</v>
      </c>
      <c r="H16" s="1">
        <v>237.5</v>
      </c>
      <c r="I16" s="1" t="s">
        <v>19</v>
      </c>
      <c r="J16" s="1" t="s">
        <v>73</v>
      </c>
      <c r="K16" s="1">
        <f>Table1[[#This Row],[Quantity]]*Table1[[#This Row],[Unit Price]]</f>
        <v>237.5</v>
      </c>
    </row>
    <row r="17" spans="1:11" x14ac:dyDescent="0.4">
      <c r="A17" s="1" t="s">
        <v>92</v>
      </c>
      <c r="B17" s="3">
        <v>46153</v>
      </c>
      <c r="C17" s="1" t="s">
        <v>64</v>
      </c>
      <c r="D17" s="1" t="s">
        <v>25</v>
      </c>
      <c r="E17" s="1" t="s">
        <v>86</v>
      </c>
      <c r="F17" s="1" t="s">
        <v>93</v>
      </c>
      <c r="G17" s="1">
        <v>3</v>
      </c>
      <c r="H17" s="1">
        <v>1260</v>
      </c>
      <c r="I17" s="1" t="s">
        <v>36</v>
      </c>
      <c r="J17" s="1" t="s">
        <v>75</v>
      </c>
      <c r="K17" s="1">
        <f>Table1[[#This Row],[Quantity]]*Table1[[#This Row],[Unit Price]]</f>
        <v>3780</v>
      </c>
    </row>
    <row r="18" spans="1:11" x14ac:dyDescent="0.4">
      <c r="A18" s="1" t="s">
        <v>94</v>
      </c>
      <c r="B18" s="3">
        <v>46115</v>
      </c>
      <c r="C18" s="1" t="s">
        <v>95</v>
      </c>
      <c r="D18" s="1" t="s">
        <v>12</v>
      </c>
      <c r="E18" s="1" t="s">
        <v>10</v>
      </c>
      <c r="F18" s="1" t="s">
        <v>72</v>
      </c>
      <c r="G18" s="1">
        <v>3</v>
      </c>
      <c r="H18" s="1">
        <v>3850</v>
      </c>
      <c r="I18" s="1" t="s">
        <v>36</v>
      </c>
      <c r="J18" s="1" t="s">
        <v>30</v>
      </c>
      <c r="K18" s="1">
        <f>Table1[[#This Row],[Quantity]]*Table1[[#This Row],[Unit Price]]</f>
        <v>11550</v>
      </c>
    </row>
    <row r="19" spans="1:11" x14ac:dyDescent="0.4">
      <c r="A19" s="1" t="s">
        <v>96</v>
      </c>
      <c r="B19" s="3">
        <v>46188</v>
      </c>
      <c r="C19" s="1" t="s">
        <v>78</v>
      </c>
      <c r="D19" s="1" t="s">
        <v>12</v>
      </c>
      <c r="E19" s="1" t="s">
        <v>86</v>
      </c>
      <c r="F19" s="1" t="s">
        <v>93</v>
      </c>
      <c r="G19" s="1">
        <v>1</v>
      </c>
      <c r="H19" s="1">
        <v>1140</v>
      </c>
      <c r="I19" s="1" t="s">
        <v>19</v>
      </c>
      <c r="J19" s="1" t="s">
        <v>75</v>
      </c>
      <c r="K19" s="1">
        <f>Table1[[#This Row],[Quantity]]*Table1[[#This Row],[Unit Price]]</f>
        <v>1140</v>
      </c>
    </row>
    <row r="20" spans="1:11" x14ac:dyDescent="0.4">
      <c r="A20" s="1" t="s">
        <v>97</v>
      </c>
      <c r="B20" s="3">
        <v>46140</v>
      </c>
      <c r="C20" s="1" t="s">
        <v>85</v>
      </c>
      <c r="D20" s="1" t="s">
        <v>14</v>
      </c>
      <c r="E20" s="1" t="s">
        <v>23</v>
      </c>
      <c r="F20" s="1" t="s">
        <v>98</v>
      </c>
      <c r="G20" s="1">
        <v>5</v>
      </c>
      <c r="H20" s="1">
        <v>660</v>
      </c>
      <c r="I20" s="1" t="s">
        <v>19</v>
      </c>
      <c r="J20" s="1" t="s">
        <v>37</v>
      </c>
      <c r="K20" s="1">
        <f>Table1[[#This Row],[Quantity]]*Table1[[#This Row],[Unit Price]]</f>
        <v>3300</v>
      </c>
    </row>
    <row r="21" spans="1:11" x14ac:dyDescent="0.4">
      <c r="A21" s="1" t="s">
        <v>99</v>
      </c>
      <c r="B21" s="3">
        <v>46154</v>
      </c>
      <c r="C21" s="1" t="s">
        <v>29</v>
      </c>
      <c r="D21" s="1" t="s">
        <v>24</v>
      </c>
      <c r="E21" s="1" t="s">
        <v>10</v>
      </c>
      <c r="F21" s="1" t="s">
        <v>9</v>
      </c>
      <c r="G21" s="1">
        <v>3</v>
      </c>
      <c r="H21" s="1">
        <v>682.5</v>
      </c>
      <c r="I21" s="1" t="s">
        <v>36</v>
      </c>
      <c r="J21" s="1" t="s">
        <v>37</v>
      </c>
      <c r="K21" s="1">
        <f>Table1[[#This Row],[Quantity]]*Table1[[#This Row],[Unit Price]]</f>
        <v>2047.5</v>
      </c>
    </row>
    <row r="22" spans="1:11" x14ac:dyDescent="0.4">
      <c r="A22" s="1" t="s">
        <v>100</v>
      </c>
      <c r="B22" s="3">
        <v>46174</v>
      </c>
      <c r="C22" s="1" t="s">
        <v>35</v>
      </c>
      <c r="D22" s="1" t="s">
        <v>24</v>
      </c>
      <c r="E22" s="1" t="s">
        <v>10</v>
      </c>
      <c r="F22" s="1" t="s">
        <v>20</v>
      </c>
      <c r="G22" s="1">
        <v>1</v>
      </c>
      <c r="H22" s="1">
        <v>330</v>
      </c>
      <c r="I22" s="1" t="s">
        <v>74</v>
      </c>
      <c r="J22" s="1" t="s">
        <v>30</v>
      </c>
      <c r="K22" s="1">
        <f>Table1[[#This Row],[Quantity]]*Table1[[#This Row],[Unit Price]]</f>
        <v>330</v>
      </c>
    </row>
    <row r="23" spans="1:11" x14ac:dyDescent="0.4">
      <c r="A23" s="1" t="s">
        <v>101</v>
      </c>
      <c r="B23" s="3">
        <v>46249</v>
      </c>
      <c r="C23" s="1" t="s">
        <v>102</v>
      </c>
      <c r="D23" s="1" t="s">
        <v>17</v>
      </c>
      <c r="E23" s="1" t="s">
        <v>16</v>
      </c>
      <c r="F23" s="1" t="s">
        <v>15</v>
      </c>
      <c r="G23" s="1">
        <v>1</v>
      </c>
      <c r="H23" s="1">
        <v>126</v>
      </c>
      <c r="I23" s="1" t="s">
        <v>36</v>
      </c>
      <c r="J23" s="1" t="s">
        <v>75</v>
      </c>
      <c r="K23" s="1">
        <f>Table1[[#This Row],[Quantity]]*Table1[[#This Row],[Unit Price]]</f>
        <v>126</v>
      </c>
    </row>
    <row r="24" spans="1:11" x14ac:dyDescent="0.4">
      <c r="A24" s="1" t="s">
        <v>103</v>
      </c>
      <c r="B24" s="3">
        <v>46268</v>
      </c>
      <c r="C24" s="1" t="s">
        <v>95</v>
      </c>
      <c r="D24" s="1" t="s">
        <v>14</v>
      </c>
      <c r="E24" s="1" t="s">
        <v>86</v>
      </c>
      <c r="F24" s="1" t="s">
        <v>93</v>
      </c>
      <c r="G24" s="1">
        <v>8</v>
      </c>
      <c r="H24" s="1">
        <v>1320</v>
      </c>
      <c r="I24" s="1" t="s">
        <v>36</v>
      </c>
      <c r="J24" s="1" t="s">
        <v>81</v>
      </c>
      <c r="K24" s="1">
        <f>Table1[[#This Row],[Quantity]]*Table1[[#This Row],[Unit Price]]</f>
        <v>10560</v>
      </c>
    </row>
    <row r="25" spans="1:11" x14ac:dyDescent="0.4">
      <c r="A25" s="1" t="s">
        <v>104</v>
      </c>
      <c r="B25" s="3">
        <v>46284</v>
      </c>
      <c r="C25" s="1" t="s">
        <v>70</v>
      </c>
      <c r="D25" s="1" t="s">
        <v>24</v>
      </c>
      <c r="E25" s="1" t="s">
        <v>79</v>
      </c>
      <c r="F25" s="1" t="s">
        <v>105</v>
      </c>
      <c r="G25" s="1">
        <v>2</v>
      </c>
      <c r="H25" s="1">
        <v>4620</v>
      </c>
      <c r="I25" s="1" t="s">
        <v>19</v>
      </c>
      <c r="J25" s="1" t="s">
        <v>33</v>
      </c>
      <c r="K25" s="1">
        <f>Table1[[#This Row],[Quantity]]*Table1[[#This Row],[Unit Price]]</f>
        <v>9240</v>
      </c>
    </row>
    <row r="26" spans="1:11" x14ac:dyDescent="0.4">
      <c r="A26" s="1" t="s">
        <v>106</v>
      </c>
      <c r="B26" s="3">
        <v>46129</v>
      </c>
      <c r="C26" s="1" t="s">
        <v>50</v>
      </c>
      <c r="D26" s="1" t="s">
        <v>14</v>
      </c>
      <c r="E26" s="1" t="s">
        <v>79</v>
      </c>
      <c r="F26" s="1" t="s">
        <v>107</v>
      </c>
      <c r="G26" s="1">
        <v>1</v>
      </c>
      <c r="H26" s="1">
        <v>1980</v>
      </c>
      <c r="I26" s="1" t="s">
        <v>11</v>
      </c>
      <c r="J26" s="1" t="s">
        <v>30</v>
      </c>
      <c r="K26" s="1">
        <f>Table1[[#This Row],[Quantity]]*Table1[[#This Row],[Unit Price]]</f>
        <v>1980</v>
      </c>
    </row>
    <row r="27" spans="1:11" x14ac:dyDescent="0.4">
      <c r="A27" s="1" t="s">
        <v>108</v>
      </c>
      <c r="B27" s="3">
        <v>46294</v>
      </c>
      <c r="C27" s="1" t="s">
        <v>90</v>
      </c>
      <c r="D27" s="1" t="s">
        <v>22</v>
      </c>
      <c r="E27" s="1" t="s">
        <v>10</v>
      </c>
      <c r="F27" s="1" t="s">
        <v>20</v>
      </c>
      <c r="G27" s="1">
        <v>1</v>
      </c>
      <c r="H27" s="1">
        <v>285</v>
      </c>
      <c r="I27" s="1" t="s">
        <v>11</v>
      </c>
      <c r="J27" s="1" t="s">
        <v>75</v>
      </c>
      <c r="K27" s="1">
        <f>Table1[[#This Row],[Quantity]]*Table1[[#This Row],[Unit Price]]</f>
        <v>285</v>
      </c>
    </row>
    <row r="28" spans="1:11" x14ac:dyDescent="0.4">
      <c r="A28" s="1" t="s">
        <v>109</v>
      </c>
      <c r="B28" s="3">
        <v>46173</v>
      </c>
      <c r="C28" s="1" t="s">
        <v>102</v>
      </c>
      <c r="D28" s="1" t="s">
        <v>17</v>
      </c>
      <c r="E28" s="1" t="s">
        <v>23</v>
      </c>
      <c r="F28" s="1" t="s">
        <v>62</v>
      </c>
      <c r="G28" s="1">
        <v>3</v>
      </c>
      <c r="H28" s="1">
        <v>700</v>
      </c>
      <c r="I28" s="1" t="s">
        <v>74</v>
      </c>
      <c r="J28" s="1" t="s">
        <v>33</v>
      </c>
      <c r="K28" s="1">
        <f>Table1[[#This Row],[Quantity]]*Table1[[#This Row],[Unit Price]]</f>
        <v>2100</v>
      </c>
    </row>
    <row r="29" spans="1:11" x14ac:dyDescent="0.4">
      <c r="A29" s="1" t="s">
        <v>110</v>
      </c>
      <c r="B29" s="3">
        <v>46234</v>
      </c>
      <c r="C29" s="1" t="s">
        <v>111</v>
      </c>
      <c r="D29" s="1" t="s">
        <v>21</v>
      </c>
      <c r="E29" s="1" t="s">
        <v>86</v>
      </c>
      <c r="F29" s="1" t="s">
        <v>112</v>
      </c>
      <c r="G29" s="1">
        <v>1</v>
      </c>
      <c r="H29" s="1">
        <v>855</v>
      </c>
      <c r="I29" s="1" t="s">
        <v>36</v>
      </c>
      <c r="J29" s="1" t="s">
        <v>81</v>
      </c>
      <c r="K29" s="1">
        <f>Table1[[#This Row],[Quantity]]*Table1[[#This Row],[Unit Price]]</f>
        <v>855</v>
      </c>
    </row>
    <row r="30" spans="1:11" x14ac:dyDescent="0.4">
      <c r="A30" s="1" t="s">
        <v>113</v>
      </c>
      <c r="B30" s="3">
        <v>46218</v>
      </c>
      <c r="C30" s="1" t="s">
        <v>111</v>
      </c>
      <c r="D30" s="1" t="s">
        <v>24</v>
      </c>
      <c r="E30" s="1" t="s">
        <v>83</v>
      </c>
      <c r="F30" s="1" t="s">
        <v>84</v>
      </c>
      <c r="G30" s="1">
        <v>5</v>
      </c>
      <c r="H30" s="1">
        <v>285</v>
      </c>
      <c r="I30" s="1" t="s">
        <v>11</v>
      </c>
      <c r="J30" s="1" t="s">
        <v>81</v>
      </c>
      <c r="K30" s="1">
        <f>Table1[[#This Row],[Quantity]]*Table1[[#This Row],[Unit Price]]</f>
        <v>1425</v>
      </c>
    </row>
    <row r="31" spans="1:11" x14ac:dyDescent="0.4">
      <c r="A31" s="1" t="s">
        <v>114</v>
      </c>
      <c r="B31" s="3">
        <v>46199</v>
      </c>
      <c r="C31" s="1" t="s">
        <v>102</v>
      </c>
      <c r="D31" s="1" t="s">
        <v>25</v>
      </c>
      <c r="E31" s="1" t="s">
        <v>10</v>
      </c>
      <c r="F31" s="1" t="s">
        <v>115</v>
      </c>
      <c r="G31" s="1">
        <v>1</v>
      </c>
      <c r="H31" s="1">
        <v>2200</v>
      </c>
      <c r="I31" s="1" t="s">
        <v>19</v>
      </c>
      <c r="J31" s="1" t="s">
        <v>81</v>
      </c>
      <c r="K31" s="1">
        <f>Table1[[#This Row],[Quantity]]*Table1[[#This Row],[Unit Price]]</f>
        <v>2200</v>
      </c>
    </row>
    <row r="32" spans="1:11" x14ac:dyDescent="0.4">
      <c r="A32" s="1" t="s">
        <v>116</v>
      </c>
      <c r="B32" s="3">
        <v>46159</v>
      </c>
      <c r="C32" s="1" t="s">
        <v>70</v>
      </c>
      <c r="D32" s="1" t="s">
        <v>24</v>
      </c>
      <c r="E32" s="1" t="s">
        <v>23</v>
      </c>
      <c r="F32" s="1" t="s">
        <v>62</v>
      </c>
      <c r="G32" s="1">
        <v>2</v>
      </c>
      <c r="H32" s="1">
        <v>665</v>
      </c>
      <c r="I32" s="1" t="s">
        <v>11</v>
      </c>
      <c r="J32" s="1" t="s">
        <v>73</v>
      </c>
      <c r="K32" s="1">
        <f>Table1[[#This Row],[Quantity]]*Table1[[#This Row],[Unit Price]]</f>
        <v>1330</v>
      </c>
    </row>
    <row r="33" spans="1:11" x14ac:dyDescent="0.4">
      <c r="A33" s="1" t="s">
        <v>117</v>
      </c>
      <c r="B33" s="3">
        <v>46251</v>
      </c>
      <c r="C33" s="1" t="s">
        <v>44</v>
      </c>
      <c r="D33" s="1" t="s">
        <v>21</v>
      </c>
      <c r="E33" s="1" t="s">
        <v>10</v>
      </c>
      <c r="F33" s="1" t="s">
        <v>9</v>
      </c>
      <c r="G33" s="1">
        <v>8</v>
      </c>
      <c r="H33" s="1">
        <v>650</v>
      </c>
      <c r="I33" s="1" t="s">
        <v>74</v>
      </c>
      <c r="J33" s="1" t="s">
        <v>81</v>
      </c>
      <c r="K33" s="1">
        <f>Table1[[#This Row],[Quantity]]*Table1[[#This Row],[Unit Price]]</f>
        <v>5200</v>
      </c>
    </row>
    <row r="34" spans="1:11" x14ac:dyDescent="0.4">
      <c r="A34" s="1" t="s">
        <v>118</v>
      </c>
      <c r="B34" s="3">
        <v>46167</v>
      </c>
      <c r="C34" s="1" t="s">
        <v>64</v>
      </c>
      <c r="D34" s="1" t="s">
        <v>8</v>
      </c>
      <c r="E34" s="1" t="s">
        <v>86</v>
      </c>
      <c r="F34" s="1" t="s">
        <v>89</v>
      </c>
      <c r="G34" s="1">
        <v>6</v>
      </c>
      <c r="H34" s="1">
        <v>700</v>
      </c>
      <c r="I34" s="1" t="s">
        <v>74</v>
      </c>
      <c r="J34" s="1" t="s">
        <v>37</v>
      </c>
      <c r="K34" s="1">
        <f>Table1[[#This Row],[Quantity]]*Table1[[#This Row],[Unit Price]]</f>
        <v>4200</v>
      </c>
    </row>
    <row r="35" spans="1:11" x14ac:dyDescent="0.4">
      <c r="A35" s="1" t="s">
        <v>119</v>
      </c>
      <c r="B35" s="3">
        <v>46229</v>
      </c>
      <c r="C35" s="1" t="s">
        <v>111</v>
      </c>
      <c r="D35" s="1" t="s">
        <v>25</v>
      </c>
      <c r="E35" s="1" t="s">
        <v>23</v>
      </c>
      <c r="F35" s="1" t="s">
        <v>71</v>
      </c>
      <c r="G35" s="1">
        <v>2</v>
      </c>
      <c r="H35" s="1">
        <v>880</v>
      </c>
      <c r="I35" s="1" t="s">
        <v>19</v>
      </c>
      <c r="J35" s="1" t="s">
        <v>33</v>
      </c>
      <c r="K35" s="1">
        <f>Table1[[#This Row],[Quantity]]*Table1[[#This Row],[Unit Price]]</f>
        <v>1760</v>
      </c>
    </row>
    <row r="36" spans="1:11" x14ac:dyDescent="0.4">
      <c r="A36" s="1" t="s">
        <v>120</v>
      </c>
      <c r="B36" s="3">
        <v>46188</v>
      </c>
      <c r="C36" s="1" t="s">
        <v>78</v>
      </c>
      <c r="D36" s="1" t="s">
        <v>8</v>
      </c>
      <c r="E36" s="1" t="s">
        <v>16</v>
      </c>
      <c r="F36" s="1" t="s">
        <v>77</v>
      </c>
      <c r="G36" s="1">
        <v>8</v>
      </c>
      <c r="H36" s="1">
        <v>275</v>
      </c>
      <c r="I36" s="1" t="s">
        <v>36</v>
      </c>
      <c r="J36" s="1" t="s">
        <v>30</v>
      </c>
      <c r="K36" s="1">
        <f>Table1[[#This Row],[Quantity]]*Table1[[#This Row],[Unit Price]]</f>
        <v>2200</v>
      </c>
    </row>
    <row r="37" spans="1:11" x14ac:dyDescent="0.4">
      <c r="A37" s="1" t="s">
        <v>121</v>
      </c>
      <c r="B37" s="3">
        <v>46125</v>
      </c>
      <c r="C37" s="1" t="s">
        <v>44</v>
      </c>
      <c r="D37" s="1" t="s">
        <v>8</v>
      </c>
      <c r="E37" s="1" t="s">
        <v>83</v>
      </c>
      <c r="F37" s="1" t="s">
        <v>122</v>
      </c>
      <c r="G37" s="1">
        <v>2</v>
      </c>
      <c r="H37" s="1">
        <v>935</v>
      </c>
      <c r="I37" s="1" t="s">
        <v>11</v>
      </c>
      <c r="J37" s="1" t="s">
        <v>33</v>
      </c>
      <c r="K37" s="1">
        <f>Table1[[#This Row],[Quantity]]*Table1[[#This Row],[Unit Price]]</f>
        <v>1870</v>
      </c>
    </row>
    <row r="38" spans="1:11" x14ac:dyDescent="0.4">
      <c r="A38" s="1" t="s">
        <v>123</v>
      </c>
      <c r="B38" s="3">
        <v>46130</v>
      </c>
      <c r="C38" s="1" t="s">
        <v>64</v>
      </c>
      <c r="D38" s="1" t="s">
        <v>24</v>
      </c>
      <c r="E38" s="1" t="s">
        <v>10</v>
      </c>
      <c r="F38" s="1" t="s">
        <v>59</v>
      </c>
      <c r="G38" s="1">
        <v>3</v>
      </c>
      <c r="H38" s="1">
        <v>1400</v>
      </c>
      <c r="I38" s="1" t="s">
        <v>19</v>
      </c>
      <c r="J38" s="1" t="s">
        <v>75</v>
      </c>
      <c r="K38" s="1">
        <f>Table1[[#This Row],[Quantity]]*Table1[[#This Row],[Unit Price]]</f>
        <v>4200</v>
      </c>
    </row>
    <row r="39" spans="1:11" x14ac:dyDescent="0.4">
      <c r="A39" s="1" t="s">
        <v>124</v>
      </c>
      <c r="B39" s="3">
        <v>46265</v>
      </c>
      <c r="C39" s="1" t="s">
        <v>111</v>
      </c>
      <c r="D39" s="1" t="s">
        <v>22</v>
      </c>
      <c r="E39" s="1" t="s">
        <v>10</v>
      </c>
      <c r="F39" s="1" t="s">
        <v>42</v>
      </c>
      <c r="G39" s="1">
        <v>3</v>
      </c>
      <c r="H39" s="1">
        <v>1890</v>
      </c>
      <c r="I39" s="1" t="s">
        <v>36</v>
      </c>
      <c r="J39" s="1" t="s">
        <v>33</v>
      </c>
      <c r="K39" s="1">
        <f>Table1[[#This Row],[Quantity]]*Table1[[#This Row],[Unit Price]]</f>
        <v>5670</v>
      </c>
    </row>
    <row r="40" spans="1:11" x14ac:dyDescent="0.4">
      <c r="A40" s="1" t="s">
        <v>125</v>
      </c>
      <c r="B40" s="3">
        <v>46284</v>
      </c>
      <c r="C40" s="1" t="s">
        <v>41</v>
      </c>
      <c r="D40" s="1" t="s">
        <v>12</v>
      </c>
      <c r="E40" s="1" t="s">
        <v>79</v>
      </c>
      <c r="F40" s="1" t="s">
        <v>88</v>
      </c>
      <c r="G40" s="1">
        <v>1</v>
      </c>
      <c r="H40" s="1">
        <v>6825</v>
      </c>
      <c r="I40" s="1" t="s">
        <v>74</v>
      </c>
      <c r="J40" s="1" t="s">
        <v>37</v>
      </c>
      <c r="K40" s="1">
        <f>Table1[[#This Row],[Quantity]]*Table1[[#This Row],[Unit Price]]</f>
        <v>6825</v>
      </c>
    </row>
    <row r="41" spans="1:11" x14ac:dyDescent="0.4">
      <c r="A41" s="1" t="s">
        <v>126</v>
      </c>
      <c r="B41" s="3">
        <v>46131</v>
      </c>
      <c r="C41" s="1" t="s">
        <v>39</v>
      </c>
      <c r="D41" s="1" t="s">
        <v>24</v>
      </c>
      <c r="E41" s="1" t="s">
        <v>10</v>
      </c>
      <c r="F41" s="1" t="s">
        <v>9</v>
      </c>
      <c r="G41" s="1">
        <v>2</v>
      </c>
      <c r="H41" s="1">
        <v>715</v>
      </c>
      <c r="I41" s="1" t="s">
        <v>19</v>
      </c>
      <c r="J41" s="1" t="s">
        <v>75</v>
      </c>
      <c r="K41" s="1">
        <f>Table1[[#This Row],[Quantity]]*Table1[[#This Row],[Unit Price]]</f>
        <v>1430</v>
      </c>
    </row>
    <row r="42" spans="1:11" x14ac:dyDescent="0.4">
      <c r="A42" s="1" t="s">
        <v>127</v>
      </c>
      <c r="B42" s="3">
        <v>46180</v>
      </c>
      <c r="C42" s="1" t="s">
        <v>82</v>
      </c>
      <c r="D42" s="1" t="s">
        <v>14</v>
      </c>
      <c r="E42" s="1" t="s">
        <v>16</v>
      </c>
      <c r="F42" s="1" t="s">
        <v>15</v>
      </c>
      <c r="G42" s="1">
        <v>6</v>
      </c>
      <c r="H42" s="1">
        <v>114</v>
      </c>
      <c r="I42" s="1" t="s">
        <v>36</v>
      </c>
      <c r="J42" s="1" t="s">
        <v>37</v>
      </c>
      <c r="K42" s="1">
        <f>Table1[[#This Row],[Quantity]]*Table1[[#This Row],[Unit Price]]</f>
        <v>684</v>
      </c>
    </row>
    <row r="43" spans="1:11" x14ac:dyDescent="0.4">
      <c r="A43" s="1" t="s">
        <v>128</v>
      </c>
      <c r="B43" s="3">
        <v>46153</v>
      </c>
      <c r="C43" s="1" t="s">
        <v>85</v>
      </c>
      <c r="D43" s="1" t="s">
        <v>8</v>
      </c>
      <c r="E43" s="1" t="s">
        <v>83</v>
      </c>
      <c r="F43" s="1" t="s">
        <v>129</v>
      </c>
      <c r="G43" s="1">
        <v>5</v>
      </c>
      <c r="H43" s="1">
        <v>450</v>
      </c>
      <c r="I43" s="1" t="s">
        <v>36</v>
      </c>
      <c r="J43" s="1" t="s">
        <v>73</v>
      </c>
      <c r="K43" s="1">
        <f>Table1[[#This Row],[Quantity]]*Table1[[#This Row],[Unit Price]]</f>
        <v>2250</v>
      </c>
    </row>
    <row r="44" spans="1:11" x14ac:dyDescent="0.4">
      <c r="A44" s="1" t="s">
        <v>130</v>
      </c>
      <c r="B44" s="3">
        <v>46139</v>
      </c>
      <c r="C44" s="1" t="s">
        <v>78</v>
      </c>
      <c r="D44" s="1" t="s">
        <v>17</v>
      </c>
      <c r="E44" s="1" t="s">
        <v>16</v>
      </c>
      <c r="F44" s="1" t="s">
        <v>15</v>
      </c>
      <c r="G44" s="1">
        <v>1</v>
      </c>
      <c r="H44" s="1">
        <v>114</v>
      </c>
      <c r="I44" s="1" t="s">
        <v>36</v>
      </c>
      <c r="J44" s="1" t="s">
        <v>37</v>
      </c>
      <c r="K44" s="1">
        <f>Table1[[#This Row],[Quantity]]*Table1[[#This Row],[Unit Price]]</f>
        <v>114</v>
      </c>
    </row>
    <row r="45" spans="1:11" x14ac:dyDescent="0.4">
      <c r="A45" s="1" t="s">
        <v>131</v>
      </c>
      <c r="B45" s="3">
        <v>46267</v>
      </c>
      <c r="C45" s="1" t="s">
        <v>111</v>
      </c>
      <c r="D45" s="1" t="s">
        <v>12</v>
      </c>
      <c r="E45" s="1" t="s">
        <v>16</v>
      </c>
      <c r="F45" s="1" t="s">
        <v>77</v>
      </c>
      <c r="G45" s="1">
        <v>4</v>
      </c>
      <c r="H45" s="1">
        <v>250</v>
      </c>
      <c r="I45" s="1" t="s">
        <v>74</v>
      </c>
      <c r="J45" s="1" t="s">
        <v>37</v>
      </c>
      <c r="K45" s="1">
        <f>Table1[[#This Row],[Quantity]]*Table1[[#This Row],[Unit Price]]</f>
        <v>1000</v>
      </c>
    </row>
    <row r="46" spans="1:11" x14ac:dyDescent="0.4">
      <c r="A46" s="1" t="s">
        <v>132</v>
      </c>
      <c r="B46" s="3">
        <v>46126</v>
      </c>
      <c r="C46" s="1" t="s">
        <v>32</v>
      </c>
      <c r="D46" s="1" t="s">
        <v>8</v>
      </c>
      <c r="E46" s="1" t="s">
        <v>10</v>
      </c>
      <c r="F46" s="1" t="s">
        <v>68</v>
      </c>
      <c r="G46" s="1">
        <v>3</v>
      </c>
      <c r="H46" s="1">
        <v>2500</v>
      </c>
      <c r="I46" s="1" t="s">
        <v>36</v>
      </c>
      <c r="J46" s="1" t="s">
        <v>33</v>
      </c>
      <c r="K46" s="1">
        <f>Table1[[#This Row],[Quantity]]*Table1[[#This Row],[Unit Price]]</f>
        <v>7500</v>
      </c>
    </row>
    <row r="47" spans="1:11" x14ac:dyDescent="0.4">
      <c r="A47" s="1" t="s">
        <v>133</v>
      </c>
      <c r="B47" s="3">
        <v>46276</v>
      </c>
      <c r="C47" s="1" t="s">
        <v>102</v>
      </c>
      <c r="D47" s="1" t="s">
        <v>21</v>
      </c>
      <c r="E47" s="1" t="s">
        <v>23</v>
      </c>
      <c r="F47" s="1" t="s">
        <v>53</v>
      </c>
      <c r="G47" s="1">
        <v>1</v>
      </c>
      <c r="H47" s="1">
        <v>577.5</v>
      </c>
      <c r="I47" s="1" t="s">
        <v>11</v>
      </c>
      <c r="J47" s="1" t="s">
        <v>30</v>
      </c>
      <c r="K47" s="1">
        <f>Table1[[#This Row],[Quantity]]*Table1[[#This Row],[Unit Price]]</f>
        <v>577.5</v>
      </c>
    </row>
    <row r="48" spans="1:11" x14ac:dyDescent="0.4">
      <c r="A48" s="1" t="s">
        <v>134</v>
      </c>
      <c r="B48" s="3">
        <v>46132</v>
      </c>
      <c r="C48" s="1" t="s">
        <v>30</v>
      </c>
      <c r="D48" s="1" t="s">
        <v>17</v>
      </c>
      <c r="E48" s="1" t="s">
        <v>16</v>
      </c>
      <c r="F48" s="1" t="s">
        <v>45</v>
      </c>
      <c r="G48" s="1">
        <v>3</v>
      </c>
      <c r="H48" s="1">
        <v>80</v>
      </c>
      <c r="I48" s="1" t="s">
        <v>74</v>
      </c>
      <c r="J48" s="1" t="s">
        <v>33</v>
      </c>
      <c r="K48" s="1">
        <f>Table1[[#This Row],[Quantity]]*Table1[[#This Row],[Unit Price]]</f>
        <v>240</v>
      </c>
    </row>
    <row r="49" spans="1:11" x14ac:dyDescent="0.4">
      <c r="A49" s="1" t="s">
        <v>135</v>
      </c>
      <c r="B49" s="3">
        <v>46123</v>
      </c>
      <c r="C49" s="1" t="s">
        <v>82</v>
      </c>
      <c r="D49" s="1" t="s">
        <v>22</v>
      </c>
      <c r="E49" s="1" t="s">
        <v>23</v>
      </c>
      <c r="F49" s="1" t="s">
        <v>98</v>
      </c>
      <c r="G49" s="1">
        <v>2</v>
      </c>
      <c r="H49" s="1">
        <v>570</v>
      </c>
      <c r="I49" s="1" t="s">
        <v>19</v>
      </c>
      <c r="J49" s="1" t="s">
        <v>73</v>
      </c>
      <c r="K49" s="1">
        <f>Table1[[#This Row],[Quantity]]*Table1[[#This Row],[Unit Price]]</f>
        <v>1140</v>
      </c>
    </row>
    <row r="50" spans="1:11" x14ac:dyDescent="0.4">
      <c r="A50" s="1" t="s">
        <v>136</v>
      </c>
      <c r="B50" s="3">
        <v>46176</v>
      </c>
      <c r="C50" s="1" t="s">
        <v>82</v>
      </c>
      <c r="D50" s="1" t="s">
        <v>21</v>
      </c>
      <c r="E50" s="1" t="s">
        <v>10</v>
      </c>
      <c r="F50" s="1" t="s">
        <v>115</v>
      </c>
      <c r="G50" s="1">
        <v>2</v>
      </c>
      <c r="H50" s="1">
        <v>2420</v>
      </c>
      <c r="I50" s="1" t="s">
        <v>19</v>
      </c>
      <c r="J50" s="1" t="s">
        <v>33</v>
      </c>
      <c r="K50" s="1">
        <f>Table1[[#This Row],[Quantity]]*Table1[[#This Row],[Unit Price]]</f>
        <v>4840</v>
      </c>
    </row>
    <row r="51" spans="1:11" x14ac:dyDescent="0.4">
      <c r="A51" s="1" t="s">
        <v>137</v>
      </c>
      <c r="B51" s="3">
        <v>46154</v>
      </c>
      <c r="C51" s="1" t="s">
        <v>44</v>
      </c>
      <c r="D51" s="1" t="s">
        <v>22</v>
      </c>
      <c r="E51" s="1" t="s">
        <v>16</v>
      </c>
      <c r="F51" s="1" t="s">
        <v>65</v>
      </c>
      <c r="G51" s="1">
        <v>5</v>
      </c>
      <c r="H51" s="1">
        <v>142.5</v>
      </c>
      <c r="I51" s="1" t="s">
        <v>74</v>
      </c>
      <c r="J51" s="1" t="s">
        <v>73</v>
      </c>
      <c r="K51" s="1">
        <f>Table1[[#This Row],[Quantity]]*Table1[[#This Row],[Unit Price]]</f>
        <v>712.5</v>
      </c>
    </row>
    <row r="52" spans="1:11" x14ac:dyDescent="0.4">
      <c r="A52" s="1" t="s">
        <v>138</v>
      </c>
      <c r="B52" s="3">
        <v>46176</v>
      </c>
      <c r="C52" s="1" t="s">
        <v>64</v>
      </c>
      <c r="D52" s="1" t="s">
        <v>8</v>
      </c>
      <c r="E52" s="1" t="s">
        <v>23</v>
      </c>
      <c r="F52" s="1" t="s">
        <v>62</v>
      </c>
      <c r="G52" s="1">
        <v>1</v>
      </c>
      <c r="H52" s="1">
        <v>665</v>
      </c>
      <c r="I52" s="1" t="s">
        <v>74</v>
      </c>
      <c r="J52" s="1" t="s">
        <v>33</v>
      </c>
      <c r="K52" s="1">
        <f>Table1[[#This Row],[Quantity]]*Table1[[#This Row],[Unit Price]]</f>
        <v>665</v>
      </c>
    </row>
    <row r="53" spans="1:11" x14ac:dyDescent="0.4">
      <c r="A53" s="1" t="s">
        <v>139</v>
      </c>
      <c r="B53" s="3">
        <v>46164</v>
      </c>
      <c r="C53" s="1" t="s">
        <v>50</v>
      </c>
      <c r="D53" s="1" t="s">
        <v>8</v>
      </c>
      <c r="E53" s="1" t="s">
        <v>83</v>
      </c>
      <c r="F53" s="1" t="s">
        <v>84</v>
      </c>
      <c r="G53" s="1">
        <v>2</v>
      </c>
      <c r="H53" s="1">
        <v>300</v>
      </c>
      <c r="I53" s="1" t="s">
        <v>19</v>
      </c>
      <c r="J53" s="1" t="s">
        <v>81</v>
      </c>
      <c r="K53" s="1">
        <f>Table1[[#This Row],[Quantity]]*Table1[[#This Row],[Unit Price]]</f>
        <v>600</v>
      </c>
    </row>
    <row r="54" spans="1:11" x14ac:dyDescent="0.4">
      <c r="A54" s="1" t="s">
        <v>140</v>
      </c>
      <c r="B54" s="3">
        <v>46197</v>
      </c>
      <c r="C54" s="1" t="s">
        <v>61</v>
      </c>
      <c r="D54" s="1" t="s">
        <v>21</v>
      </c>
      <c r="E54" s="1" t="s">
        <v>23</v>
      </c>
      <c r="F54" s="1" t="s">
        <v>62</v>
      </c>
      <c r="G54" s="1">
        <v>5</v>
      </c>
      <c r="H54" s="1">
        <v>700</v>
      </c>
      <c r="I54" s="1" t="s">
        <v>36</v>
      </c>
      <c r="J54" s="1" t="s">
        <v>30</v>
      </c>
      <c r="K54" s="1">
        <f>Table1[[#This Row],[Quantity]]*Table1[[#This Row],[Unit Price]]</f>
        <v>3500</v>
      </c>
    </row>
    <row r="55" spans="1:11" x14ac:dyDescent="0.4">
      <c r="A55" s="1" t="s">
        <v>141</v>
      </c>
      <c r="B55" s="3">
        <v>46142</v>
      </c>
      <c r="C55" s="1" t="s">
        <v>32</v>
      </c>
      <c r="D55" s="1" t="s">
        <v>24</v>
      </c>
      <c r="E55" s="1" t="s">
        <v>23</v>
      </c>
      <c r="F55" s="1" t="s">
        <v>53</v>
      </c>
      <c r="G55" s="1">
        <v>1</v>
      </c>
      <c r="H55" s="1">
        <v>550</v>
      </c>
      <c r="I55" s="1" t="s">
        <v>74</v>
      </c>
      <c r="J55" s="1" t="s">
        <v>37</v>
      </c>
      <c r="K55" s="1">
        <f>Table1[[#This Row],[Quantity]]*Table1[[#This Row],[Unit Price]]</f>
        <v>550</v>
      </c>
    </row>
    <row r="56" spans="1:11" x14ac:dyDescent="0.4">
      <c r="A56" s="1" t="s">
        <v>142</v>
      </c>
      <c r="B56" s="3">
        <v>46193</v>
      </c>
      <c r="C56" s="1" t="s">
        <v>39</v>
      </c>
      <c r="D56" s="1" t="s">
        <v>21</v>
      </c>
      <c r="E56" s="1" t="s">
        <v>86</v>
      </c>
      <c r="F56" s="1" t="s">
        <v>93</v>
      </c>
      <c r="G56" s="1">
        <v>3</v>
      </c>
      <c r="H56" s="1">
        <v>1320</v>
      </c>
      <c r="I56" s="1" t="s">
        <v>19</v>
      </c>
      <c r="J56" s="1" t="s">
        <v>37</v>
      </c>
      <c r="K56" s="1">
        <f>Table1[[#This Row],[Quantity]]*Table1[[#This Row],[Unit Price]]</f>
        <v>3960</v>
      </c>
    </row>
    <row r="57" spans="1:11" x14ac:dyDescent="0.4">
      <c r="A57" s="1" t="s">
        <v>143</v>
      </c>
      <c r="B57" s="3">
        <v>46124</v>
      </c>
      <c r="C57" s="1" t="s">
        <v>111</v>
      </c>
      <c r="D57" s="1" t="s">
        <v>14</v>
      </c>
      <c r="E57" s="1" t="s">
        <v>86</v>
      </c>
      <c r="F57" s="1" t="s">
        <v>93</v>
      </c>
      <c r="G57" s="1">
        <v>1</v>
      </c>
      <c r="H57" s="1">
        <v>1320</v>
      </c>
      <c r="I57" s="1" t="s">
        <v>36</v>
      </c>
      <c r="J57" s="1" t="s">
        <v>81</v>
      </c>
      <c r="K57" s="1">
        <f>Table1[[#This Row],[Quantity]]*Table1[[#This Row],[Unit Price]]</f>
        <v>1320</v>
      </c>
    </row>
    <row r="58" spans="1:11" x14ac:dyDescent="0.4">
      <c r="A58" s="1" t="s">
        <v>144</v>
      </c>
      <c r="B58" s="3">
        <v>46130</v>
      </c>
      <c r="C58" s="1" t="s">
        <v>78</v>
      </c>
      <c r="D58" s="1" t="s">
        <v>12</v>
      </c>
      <c r="E58" s="1" t="s">
        <v>79</v>
      </c>
      <c r="F58" s="1" t="s">
        <v>107</v>
      </c>
      <c r="G58" s="1">
        <v>3</v>
      </c>
      <c r="H58" s="1">
        <v>1710</v>
      </c>
      <c r="I58" s="1" t="s">
        <v>36</v>
      </c>
      <c r="J58" s="1" t="s">
        <v>73</v>
      </c>
      <c r="K58" s="1">
        <f>Table1[[#This Row],[Quantity]]*Table1[[#This Row],[Unit Price]]</f>
        <v>5130</v>
      </c>
    </row>
    <row r="59" spans="1:11" x14ac:dyDescent="0.4">
      <c r="A59" s="1" t="s">
        <v>145</v>
      </c>
      <c r="B59" s="3">
        <v>46217</v>
      </c>
      <c r="C59" s="1" t="s">
        <v>102</v>
      </c>
      <c r="D59" s="1" t="s">
        <v>17</v>
      </c>
      <c r="E59" s="1" t="s">
        <v>79</v>
      </c>
      <c r="F59" s="1" t="s">
        <v>88</v>
      </c>
      <c r="G59" s="1">
        <v>2</v>
      </c>
      <c r="H59" s="1">
        <v>6500</v>
      </c>
      <c r="I59" s="1" t="s">
        <v>19</v>
      </c>
      <c r="J59" s="1" t="s">
        <v>81</v>
      </c>
      <c r="K59" s="1">
        <f>Table1[[#This Row],[Quantity]]*Table1[[#This Row],[Unit Price]]</f>
        <v>13000</v>
      </c>
    </row>
    <row r="60" spans="1:11" x14ac:dyDescent="0.4">
      <c r="A60" s="1" t="s">
        <v>146</v>
      </c>
      <c r="B60" s="3">
        <v>46283</v>
      </c>
      <c r="C60" s="1" t="s">
        <v>85</v>
      </c>
      <c r="D60" s="1" t="s">
        <v>12</v>
      </c>
      <c r="E60" s="1" t="s">
        <v>86</v>
      </c>
      <c r="F60" s="1" t="s">
        <v>87</v>
      </c>
      <c r="G60" s="1">
        <v>3</v>
      </c>
      <c r="H60" s="1">
        <v>1800</v>
      </c>
      <c r="I60" s="1" t="s">
        <v>74</v>
      </c>
      <c r="J60" s="1" t="s">
        <v>75</v>
      </c>
      <c r="K60" s="1">
        <f>Table1[[#This Row],[Quantity]]*Table1[[#This Row],[Unit Price]]</f>
        <v>5400</v>
      </c>
    </row>
    <row r="61" spans="1:11" x14ac:dyDescent="0.4">
      <c r="A61" s="1" t="s">
        <v>147</v>
      </c>
      <c r="B61" s="3">
        <v>46113</v>
      </c>
      <c r="C61" s="1" t="s">
        <v>148</v>
      </c>
      <c r="D61" s="1" t="s">
        <v>22</v>
      </c>
      <c r="E61" s="1" t="s">
        <v>23</v>
      </c>
      <c r="F61" s="1" t="s">
        <v>98</v>
      </c>
      <c r="G61" s="1">
        <v>2</v>
      </c>
      <c r="H61" s="1">
        <v>630</v>
      </c>
      <c r="I61" s="1" t="s">
        <v>74</v>
      </c>
      <c r="J61" s="1" t="s">
        <v>81</v>
      </c>
      <c r="K61" s="1">
        <f>Table1[[#This Row],[Quantity]]*Table1[[#This Row],[Unit Price]]</f>
        <v>1260</v>
      </c>
    </row>
    <row r="62" spans="1:11" x14ac:dyDescent="0.4">
      <c r="A62" s="1" t="s">
        <v>149</v>
      </c>
      <c r="B62" s="3">
        <v>46226</v>
      </c>
      <c r="C62" s="1" t="s">
        <v>111</v>
      </c>
      <c r="D62" s="1" t="s">
        <v>24</v>
      </c>
      <c r="E62" s="1" t="s">
        <v>16</v>
      </c>
      <c r="F62" s="1" t="s">
        <v>77</v>
      </c>
      <c r="G62" s="1">
        <v>2</v>
      </c>
      <c r="H62" s="1">
        <v>250</v>
      </c>
      <c r="I62" s="1" t="s">
        <v>36</v>
      </c>
      <c r="J62" s="1" t="s">
        <v>75</v>
      </c>
      <c r="K62" s="1">
        <f>Table1[[#This Row],[Quantity]]*Table1[[#This Row],[Unit Price]]</f>
        <v>500</v>
      </c>
    </row>
    <row r="63" spans="1:11" x14ac:dyDescent="0.4">
      <c r="A63" s="1" t="s">
        <v>150</v>
      </c>
      <c r="B63" s="3">
        <v>46282</v>
      </c>
      <c r="C63" s="1" t="s">
        <v>111</v>
      </c>
      <c r="D63" s="1" t="s">
        <v>12</v>
      </c>
      <c r="E63" s="1" t="s">
        <v>79</v>
      </c>
      <c r="F63" s="1" t="s">
        <v>107</v>
      </c>
      <c r="G63" s="1">
        <v>1</v>
      </c>
      <c r="H63" s="1">
        <v>1800</v>
      </c>
      <c r="I63" s="1" t="s">
        <v>19</v>
      </c>
      <c r="J63" s="1" t="s">
        <v>33</v>
      </c>
      <c r="K63" s="1">
        <f>Table1[[#This Row],[Quantity]]*Table1[[#This Row],[Unit Price]]</f>
        <v>1800</v>
      </c>
    </row>
    <row r="64" spans="1:11" x14ac:dyDescent="0.4">
      <c r="A64" s="1" t="s">
        <v>151</v>
      </c>
      <c r="B64" s="3">
        <v>46150</v>
      </c>
      <c r="C64" s="1" t="s">
        <v>85</v>
      </c>
      <c r="D64" s="1" t="s">
        <v>24</v>
      </c>
      <c r="E64" s="1" t="s">
        <v>10</v>
      </c>
      <c r="F64" s="1" t="s">
        <v>13</v>
      </c>
      <c r="G64" s="1">
        <v>1</v>
      </c>
      <c r="H64" s="1">
        <v>1260</v>
      </c>
      <c r="I64" s="1" t="s">
        <v>74</v>
      </c>
      <c r="J64" s="1" t="s">
        <v>81</v>
      </c>
      <c r="K64" s="1">
        <f>Table1[[#This Row],[Quantity]]*Table1[[#This Row],[Unit Price]]</f>
        <v>1260</v>
      </c>
    </row>
    <row r="65" spans="1:11" x14ac:dyDescent="0.4">
      <c r="A65" s="1" t="s">
        <v>152</v>
      </c>
      <c r="B65" s="3">
        <v>46274</v>
      </c>
      <c r="C65" s="1" t="s">
        <v>153</v>
      </c>
      <c r="D65" s="1" t="s">
        <v>21</v>
      </c>
      <c r="E65" s="1" t="s">
        <v>16</v>
      </c>
      <c r="F65" s="1" t="s">
        <v>154</v>
      </c>
      <c r="G65" s="1">
        <v>4</v>
      </c>
      <c r="H65" s="1">
        <v>94.5</v>
      </c>
      <c r="I65" s="1" t="s">
        <v>19</v>
      </c>
      <c r="J65" s="1" t="s">
        <v>33</v>
      </c>
      <c r="K65" s="1">
        <f>Table1[[#This Row],[Quantity]]*Table1[[#This Row],[Unit Price]]</f>
        <v>378</v>
      </c>
    </row>
    <row r="66" spans="1:11" x14ac:dyDescent="0.4">
      <c r="A66" s="1" t="s">
        <v>155</v>
      </c>
      <c r="B66" s="3">
        <v>46280</v>
      </c>
      <c r="C66" s="1" t="s">
        <v>95</v>
      </c>
      <c r="D66" s="1" t="s">
        <v>21</v>
      </c>
      <c r="E66" s="1" t="s">
        <v>10</v>
      </c>
      <c r="F66" s="1" t="s">
        <v>9</v>
      </c>
      <c r="G66" s="1">
        <v>5</v>
      </c>
      <c r="H66" s="1">
        <v>617.5</v>
      </c>
      <c r="I66" s="1" t="s">
        <v>19</v>
      </c>
      <c r="J66" s="1" t="s">
        <v>33</v>
      </c>
      <c r="K66" s="1">
        <f>Table1[[#This Row],[Quantity]]*Table1[[#This Row],[Unit Price]]</f>
        <v>3087.5</v>
      </c>
    </row>
    <row r="67" spans="1:11" x14ac:dyDescent="0.4">
      <c r="A67" s="1" t="s">
        <v>156</v>
      </c>
      <c r="B67" s="3">
        <v>46291</v>
      </c>
      <c r="C67" s="1" t="s">
        <v>157</v>
      </c>
      <c r="D67" s="1" t="s">
        <v>24</v>
      </c>
      <c r="E67" s="1" t="s">
        <v>83</v>
      </c>
      <c r="F67" s="1" t="s">
        <v>84</v>
      </c>
      <c r="G67" s="1">
        <v>1</v>
      </c>
      <c r="H67" s="1">
        <v>300</v>
      </c>
      <c r="I67" s="1" t="s">
        <v>74</v>
      </c>
      <c r="J67" s="1" t="s">
        <v>33</v>
      </c>
      <c r="K67" s="1">
        <f>Table1[[#This Row],[Quantity]]*Table1[[#This Row],[Unit Price]]</f>
        <v>300</v>
      </c>
    </row>
    <row r="68" spans="1:11" x14ac:dyDescent="0.4">
      <c r="A68" s="1" t="s">
        <v>158</v>
      </c>
      <c r="B68" s="3">
        <v>46231</v>
      </c>
      <c r="C68" s="1" t="s">
        <v>85</v>
      </c>
      <c r="D68" s="1" t="s">
        <v>21</v>
      </c>
      <c r="E68" s="1" t="s">
        <v>79</v>
      </c>
      <c r="F68" s="1" t="s">
        <v>88</v>
      </c>
      <c r="G68" s="1">
        <v>8</v>
      </c>
      <c r="H68" s="1">
        <v>6825</v>
      </c>
      <c r="I68" s="1" t="s">
        <v>74</v>
      </c>
      <c r="J68" s="1" t="s">
        <v>33</v>
      </c>
      <c r="K68" s="1">
        <f>Table1[[#This Row],[Quantity]]*Table1[[#This Row],[Unit Price]]</f>
        <v>54600</v>
      </c>
    </row>
    <row r="69" spans="1:11" x14ac:dyDescent="0.4">
      <c r="A69" s="1" t="s">
        <v>159</v>
      </c>
      <c r="B69" s="3">
        <v>46234</v>
      </c>
      <c r="C69" s="1" t="s">
        <v>160</v>
      </c>
      <c r="D69" s="1" t="s">
        <v>12</v>
      </c>
      <c r="E69" s="1" t="s">
        <v>83</v>
      </c>
      <c r="F69" s="1" t="s">
        <v>129</v>
      </c>
      <c r="G69" s="1">
        <v>1</v>
      </c>
      <c r="H69" s="1">
        <v>450</v>
      </c>
      <c r="I69" s="1" t="s">
        <v>74</v>
      </c>
      <c r="J69" s="1" t="s">
        <v>73</v>
      </c>
      <c r="K69" s="1">
        <f>Table1[[#This Row],[Quantity]]*Table1[[#This Row],[Unit Price]]</f>
        <v>450</v>
      </c>
    </row>
    <row r="70" spans="1:11" x14ac:dyDescent="0.4">
      <c r="A70" s="1" t="s">
        <v>161</v>
      </c>
      <c r="B70" s="3">
        <v>46174</v>
      </c>
      <c r="C70" s="1" t="s">
        <v>50</v>
      </c>
      <c r="D70" s="1" t="s">
        <v>12</v>
      </c>
      <c r="E70" s="1" t="s">
        <v>23</v>
      </c>
      <c r="F70" s="1" t="s">
        <v>62</v>
      </c>
      <c r="G70" s="1">
        <v>2</v>
      </c>
      <c r="H70" s="1">
        <v>700</v>
      </c>
      <c r="I70" s="1" t="s">
        <v>36</v>
      </c>
      <c r="J70" s="1" t="s">
        <v>37</v>
      </c>
      <c r="K70" s="1">
        <f>Table1[[#This Row],[Quantity]]*Table1[[#This Row],[Unit Price]]</f>
        <v>1400</v>
      </c>
    </row>
    <row r="71" spans="1:11" x14ac:dyDescent="0.4">
      <c r="A71" s="1" t="s">
        <v>162</v>
      </c>
      <c r="B71" s="3">
        <v>46251</v>
      </c>
      <c r="C71" s="1" t="s">
        <v>64</v>
      </c>
      <c r="D71" s="1" t="s">
        <v>17</v>
      </c>
      <c r="E71" s="1" t="s">
        <v>10</v>
      </c>
      <c r="F71" s="1" t="s">
        <v>68</v>
      </c>
      <c r="G71" s="1">
        <v>1</v>
      </c>
      <c r="H71" s="1">
        <v>2500</v>
      </c>
      <c r="I71" s="1" t="s">
        <v>19</v>
      </c>
      <c r="J71" s="1" t="s">
        <v>30</v>
      </c>
      <c r="K71" s="1">
        <f>Table1[[#This Row],[Quantity]]*Table1[[#This Row],[Unit Price]]</f>
        <v>2500</v>
      </c>
    </row>
    <row r="72" spans="1:11" x14ac:dyDescent="0.4">
      <c r="A72" s="1" t="s">
        <v>163</v>
      </c>
      <c r="B72" s="3">
        <v>46219</v>
      </c>
      <c r="C72" s="1" t="s">
        <v>67</v>
      </c>
      <c r="D72" s="1" t="s">
        <v>8</v>
      </c>
      <c r="E72" s="1" t="s">
        <v>86</v>
      </c>
      <c r="F72" s="1" t="s">
        <v>112</v>
      </c>
      <c r="G72" s="1">
        <v>2</v>
      </c>
      <c r="H72" s="1">
        <v>945</v>
      </c>
      <c r="I72" s="1" t="s">
        <v>19</v>
      </c>
      <c r="J72" s="1" t="s">
        <v>81</v>
      </c>
      <c r="K72" s="1">
        <f>Table1[[#This Row],[Quantity]]*Table1[[#This Row],[Unit Price]]</f>
        <v>1890</v>
      </c>
    </row>
    <row r="73" spans="1:11" x14ac:dyDescent="0.4">
      <c r="A73" s="1" t="s">
        <v>164</v>
      </c>
      <c r="B73" s="3">
        <v>46212</v>
      </c>
      <c r="C73" s="1" t="s">
        <v>64</v>
      </c>
      <c r="D73" s="1" t="s">
        <v>25</v>
      </c>
      <c r="E73" s="1" t="s">
        <v>10</v>
      </c>
      <c r="F73" s="1" t="s">
        <v>13</v>
      </c>
      <c r="G73" s="1">
        <v>5</v>
      </c>
      <c r="H73" s="1">
        <v>1320</v>
      </c>
      <c r="I73" s="1" t="s">
        <v>11</v>
      </c>
      <c r="J73" s="1" t="s">
        <v>37</v>
      </c>
      <c r="K73" s="1">
        <f>Table1[[#This Row],[Quantity]]*Table1[[#This Row],[Unit Price]]</f>
        <v>6600</v>
      </c>
    </row>
    <row r="74" spans="1:11" x14ac:dyDescent="0.4">
      <c r="A74" s="1" t="s">
        <v>165</v>
      </c>
      <c r="B74" s="3">
        <v>46189</v>
      </c>
      <c r="C74" s="1" t="s">
        <v>102</v>
      </c>
      <c r="D74" s="1" t="s">
        <v>14</v>
      </c>
      <c r="E74" s="1" t="s">
        <v>86</v>
      </c>
      <c r="F74" s="1" t="s">
        <v>87</v>
      </c>
      <c r="G74" s="1">
        <v>5</v>
      </c>
      <c r="H74" s="1">
        <v>1890</v>
      </c>
      <c r="I74" s="1" t="s">
        <v>74</v>
      </c>
      <c r="J74" s="1" t="s">
        <v>33</v>
      </c>
      <c r="K74" s="1">
        <f>Table1[[#This Row],[Quantity]]*Table1[[#This Row],[Unit Price]]</f>
        <v>9450</v>
      </c>
    </row>
    <row r="75" spans="1:11" x14ac:dyDescent="0.4">
      <c r="A75" s="1" t="s">
        <v>166</v>
      </c>
      <c r="B75" s="3">
        <v>46182</v>
      </c>
      <c r="C75" s="1" t="s">
        <v>58</v>
      </c>
      <c r="D75" s="1" t="s">
        <v>21</v>
      </c>
      <c r="E75" s="1" t="s">
        <v>86</v>
      </c>
      <c r="F75" s="1" t="s">
        <v>93</v>
      </c>
      <c r="G75" s="1">
        <v>2</v>
      </c>
      <c r="H75" s="1">
        <v>1260</v>
      </c>
      <c r="I75" s="1" t="s">
        <v>19</v>
      </c>
      <c r="J75" s="1" t="s">
        <v>81</v>
      </c>
      <c r="K75" s="1">
        <f>Table1[[#This Row],[Quantity]]*Table1[[#This Row],[Unit Price]]</f>
        <v>2520</v>
      </c>
    </row>
    <row r="76" spans="1:11" x14ac:dyDescent="0.4">
      <c r="A76" s="1" t="s">
        <v>167</v>
      </c>
      <c r="B76" s="3">
        <v>46145</v>
      </c>
      <c r="C76" s="1" t="s">
        <v>30</v>
      </c>
      <c r="D76" s="1" t="s">
        <v>8</v>
      </c>
      <c r="E76" s="1" t="s">
        <v>10</v>
      </c>
      <c r="F76" s="1" t="s">
        <v>13</v>
      </c>
      <c r="G76" s="1">
        <v>6</v>
      </c>
      <c r="H76" s="1">
        <v>1320</v>
      </c>
      <c r="I76" s="1" t="s">
        <v>11</v>
      </c>
      <c r="J76" s="1" t="s">
        <v>73</v>
      </c>
      <c r="K76" s="1">
        <f>Table1[[#This Row],[Quantity]]*Table1[[#This Row],[Unit Price]]</f>
        <v>7920</v>
      </c>
    </row>
    <row r="77" spans="1:11" x14ac:dyDescent="0.4">
      <c r="A77" s="1" t="s">
        <v>168</v>
      </c>
      <c r="B77" s="3">
        <v>46222</v>
      </c>
      <c r="C77" s="1" t="s">
        <v>32</v>
      </c>
      <c r="D77" s="1" t="s">
        <v>12</v>
      </c>
      <c r="E77" s="1" t="s">
        <v>16</v>
      </c>
      <c r="F77" s="1" t="s">
        <v>15</v>
      </c>
      <c r="G77" s="1">
        <v>5</v>
      </c>
      <c r="H77" s="1">
        <v>120</v>
      </c>
      <c r="I77" s="1" t="s">
        <v>74</v>
      </c>
      <c r="J77" s="1" t="s">
        <v>37</v>
      </c>
      <c r="K77" s="1">
        <f>Table1[[#This Row],[Quantity]]*Table1[[#This Row],[Unit Price]]</f>
        <v>600</v>
      </c>
    </row>
    <row r="78" spans="1:11" x14ac:dyDescent="0.4">
      <c r="A78" s="1" t="s">
        <v>169</v>
      </c>
      <c r="B78" s="3">
        <v>46167</v>
      </c>
      <c r="C78" s="1" t="s">
        <v>52</v>
      </c>
      <c r="D78" s="1" t="s">
        <v>21</v>
      </c>
      <c r="E78" s="1" t="s">
        <v>83</v>
      </c>
      <c r="F78" s="1" t="s">
        <v>84</v>
      </c>
      <c r="G78" s="1">
        <v>2</v>
      </c>
      <c r="H78" s="1">
        <v>315</v>
      </c>
      <c r="I78" s="1" t="s">
        <v>36</v>
      </c>
      <c r="J78" s="1" t="s">
        <v>30</v>
      </c>
      <c r="K78" s="1">
        <f>Table1[[#This Row],[Quantity]]*Table1[[#This Row],[Unit Price]]</f>
        <v>630</v>
      </c>
    </row>
    <row r="79" spans="1:11" x14ac:dyDescent="0.4">
      <c r="A79" s="1" t="s">
        <v>170</v>
      </c>
      <c r="B79" s="3">
        <v>46233</v>
      </c>
      <c r="C79" s="1" t="s">
        <v>61</v>
      </c>
      <c r="D79" s="1" t="s">
        <v>14</v>
      </c>
      <c r="E79" s="1" t="s">
        <v>10</v>
      </c>
      <c r="F79" s="1" t="s">
        <v>13</v>
      </c>
      <c r="G79" s="1">
        <v>4</v>
      </c>
      <c r="H79" s="1">
        <v>1140</v>
      </c>
      <c r="I79" s="1" t="s">
        <v>11</v>
      </c>
      <c r="J79" s="1" t="s">
        <v>73</v>
      </c>
      <c r="K79" s="1">
        <f>Table1[[#This Row],[Quantity]]*Table1[[#This Row],[Unit Price]]</f>
        <v>4560</v>
      </c>
    </row>
    <row r="80" spans="1:11" x14ac:dyDescent="0.4">
      <c r="A80" s="1" t="s">
        <v>171</v>
      </c>
      <c r="B80" s="3">
        <v>46123</v>
      </c>
      <c r="C80" s="1" t="s">
        <v>160</v>
      </c>
      <c r="D80" s="1" t="s">
        <v>8</v>
      </c>
      <c r="E80" s="1" t="s">
        <v>10</v>
      </c>
      <c r="F80" s="1" t="s">
        <v>13</v>
      </c>
      <c r="G80" s="1">
        <v>6</v>
      </c>
      <c r="H80" s="1">
        <v>1200</v>
      </c>
      <c r="I80" s="1" t="s">
        <v>19</v>
      </c>
      <c r="J80" s="1" t="s">
        <v>33</v>
      </c>
      <c r="K80" s="1">
        <f>Table1[[#This Row],[Quantity]]*Table1[[#This Row],[Unit Price]]</f>
        <v>7200</v>
      </c>
    </row>
    <row r="81" spans="1:11" x14ac:dyDescent="0.4">
      <c r="A81" s="1" t="s">
        <v>172</v>
      </c>
      <c r="B81" s="3">
        <v>46145</v>
      </c>
      <c r="C81" s="1" t="s">
        <v>47</v>
      </c>
      <c r="D81" s="1" t="s">
        <v>25</v>
      </c>
      <c r="E81" s="1" t="s">
        <v>83</v>
      </c>
      <c r="F81" s="1" t="s">
        <v>122</v>
      </c>
      <c r="G81" s="1">
        <v>3</v>
      </c>
      <c r="H81" s="1">
        <v>935</v>
      </c>
      <c r="I81" s="1" t="s">
        <v>36</v>
      </c>
      <c r="J81" s="1" t="s">
        <v>37</v>
      </c>
      <c r="K81" s="1">
        <f>Table1[[#This Row],[Quantity]]*Table1[[#This Row],[Unit Price]]</f>
        <v>2805</v>
      </c>
    </row>
    <row r="82" spans="1:11" x14ac:dyDescent="0.4">
      <c r="A82" s="1" t="s">
        <v>173</v>
      </c>
      <c r="B82" s="3">
        <v>46155</v>
      </c>
      <c r="C82" s="1" t="s">
        <v>55</v>
      </c>
      <c r="D82" s="1" t="s">
        <v>24</v>
      </c>
      <c r="E82" s="1" t="s">
        <v>10</v>
      </c>
      <c r="F82" s="1" t="s">
        <v>72</v>
      </c>
      <c r="G82" s="1">
        <v>4</v>
      </c>
      <c r="H82" s="1">
        <v>3500</v>
      </c>
      <c r="I82" s="1" t="s">
        <v>11</v>
      </c>
      <c r="J82" s="1" t="s">
        <v>37</v>
      </c>
      <c r="K82" s="1">
        <f>Table1[[#This Row],[Quantity]]*Table1[[#This Row],[Unit Price]]</f>
        <v>14000</v>
      </c>
    </row>
    <row r="83" spans="1:11" x14ac:dyDescent="0.4">
      <c r="A83" s="1" t="s">
        <v>174</v>
      </c>
      <c r="B83" s="3">
        <v>46260</v>
      </c>
      <c r="C83" s="1" t="s">
        <v>35</v>
      </c>
      <c r="D83" s="1" t="s">
        <v>14</v>
      </c>
      <c r="E83" s="1" t="s">
        <v>86</v>
      </c>
      <c r="F83" s="1" t="s">
        <v>87</v>
      </c>
      <c r="G83" s="1">
        <v>2</v>
      </c>
      <c r="H83" s="1">
        <v>1800</v>
      </c>
      <c r="I83" s="1" t="s">
        <v>11</v>
      </c>
      <c r="J83" s="1" t="s">
        <v>73</v>
      </c>
      <c r="K83" s="1">
        <f>Table1[[#This Row],[Quantity]]*Table1[[#This Row],[Unit Price]]</f>
        <v>3600</v>
      </c>
    </row>
    <row r="84" spans="1:11" x14ac:dyDescent="0.4">
      <c r="A84" s="1" t="s">
        <v>175</v>
      </c>
      <c r="B84" s="3">
        <v>46190</v>
      </c>
      <c r="C84" s="1" t="s">
        <v>148</v>
      </c>
      <c r="D84" s="1" t="s">
        <v>8</v>
      </c>
      <c r="E84" s="1" t="s">
        <v>10</v>
      </c>
      <c r="F84" s="1" t="s">
        <v>72</v>
      </c>
      <c r="G84" s="1">
        <v>4</v>
      </c>
      <c r="H84" s="1">
        <v>3850</v>
      </c>
      <c r="I84" s="1" t="s">
        <v>36</v>
      </c>
      <c r="J84" s="1" t="s">
        <v>75</v>
      </c>
      <c r="K84" s="1">
        <f>Table1[[#This Row],[Quantity]]*Table1[[#This Row],[Unit Price]]</f>
        <v>15400</v>
      </c>
    </row>
    <row r="85" spans="1:11" x14ac:dyDescent="0.4">
      <c r="A85" s="1" t="s">
        <v>176</v>
      </c>
      <c r="B85" s="3">
        <v>46222</v>
      </c>
      <c r="C85" s="1" t="s">
        <v>29</v>
      </c>
      <c r="D85" s="1" t="s">
        <v>21</v>
      </c>
      <c r="E85" s="1" t="s">
        <v>79</v>
      </c>
      <c r="F85" s="1" t="s">
        <v>105</v>
      </c>
      <c r="G85" s="1">
        <v>1</v>
      </c>
      <c r="H85" s="1">
        <v>4200</v>
      </c>
      <c r="I85" s="1" t="s">
        <v>74</v>
      </c>
      <c r="J85" s="1" t="s">
        <v>30</v>
      </c>
      <c r="K85" s="1">
        <f>Table1[[#This Row],[Quantity]]*Table1[[#This Row],[Unit Price]]</f>
        <v>4200</v>
      </c>
    </row>
    <row r="86" spans="1:11" x14ac:dyDescent="0.4">
      <c r="A86" s="1" t="s">
        <v>177</v>
      </c>
      <c r="B86" s="3">
        <v>46223</v>
      </c>
      <c r="C86" s="1" t="s">
        <v>76</v>
      </c>
      <c r="D86" s="1" t="s">
        <v>17</v>
      </c>
      <c r="E86" s="1" t="s">
        <v>79</v>
      </c>
      <c r="F86" s="1" t="s">
        <v>105</v>
      </c>
      <c r="G86" s="1">
        <v>3</v>
      </c>
      <c r="H86" s="1">
        <v>4410</v>
      </c>
      <c r="I86" s="1" t="s">
        <v>74</v>
      </c>
      <c r="J86" s="1" t="s">
        <v>33</v>
      </c>
      <c r="K86" s="1">
        <f>Table1[[#This Row],[Quantity]]*Table1[[#This Row],[Unit Price]]</f>
        <v>13230</v>
      </c>
    </row>
    <row r="87" spans="1:11" x14ac:dyDescent="0.4">
      <c r="A87" s="1" t="s">
        <v>178</v>
      </c>
      <c r="B87" s="3">
        <v>46246</v>
      </c>
      <c r="C87" s="1" t="s">
        <v>95</v>
      </c>
      <c r="D87" s="1" t="s">
        <v>25</v>
      </c>
      <c r="E87" s="1" t="s">
        <v>23</v>
      </c>
      <c r="F87" s="1" t="s">
        <v>62</v>
      </c>
      <c r="G87" s="1">
        <v>3</v>
      </c>
      <c r="H87" s="1">
        <v>770</v>
      </c>
      <c r="I87" s="1" t="s">
        <v>74</v>
      </c>
      <c r="J87" s="1" t="s">
        <v>81</v>
      </c>
      <c r="K87" s="1">
        <f>Table1[[#This Row],[Quantity]]*Table1[[#This Row],[Unit Price]]</f>
        <v>2310</v>
      </c>
    </row>
    <row r="88" spans="1:11" x14ac:dyDescent="0.4">
      <c r="A88" s="1" t="s">
        <v>179</v>
      </c>
      <c r="B88" s="3">
        <v>46264</v>
      </c>
      <c r="C88" s="1" t="s">
        <v>160</v>
      </c>
      <c r="D88" s="1" t="s">
        <v>24</v>
      </c>
      <c r="E88" s="1" t="s">
        <v>23</v>
      </c>
      <c r="F88" s="1" t="s">
        <v>62</v>
      </c>
      <c r="G88" s="1">
        <v>2</v>
      </c>
      <c r="H88" s="1">
        <v>700</v>
      </c>
      <c r="I88" s="1" t="s">
        <v>36</v>
      </c>
      <c r="J88" s="1" t="s">
        <v>81</v>
      </c>
      <c r="K88" s="1">
        <f>Table1[[#This Row],[Quantity]]*Table1[[#This Row],[Unit Price]]</f>
        <v>1400</v>
      </c>
    </row>
    <row r="89" spans="1:11" x14ac:dyDescent="0.4">
      <c r="A89" s="1" t="s">
        <v>180</v>
      </c>
      <c r="B89" s="3">
        <v>46175</v>
      </c>
      <c r="C89" s="1" t="s">
        <v>58</v>
      </c>
      <c r="D89" s="1" t="s">
        <v>8</v>
      </c>
      <c r="E89" s="1" t="s">
        <v>83</v>
      </c>
      <c r="F89" s="1" t="s">
        <v>84</v>
      </c>
      <c r="G89" s="1">
        <v>3</v>
      </c>
      <c r="H89" s="1">
        <v>315</v>
      </c>
      <c r="I89" s="1" t="s">
        <v>74</v>
      </c>
      <c r="J89" s="1" t="s">
        <v>37</v>
      </c>
      <c r="K89" s="1">
        <f>Table1[[#This Row],[Quantity]]*Table1[[#This Row],[Unit Price]]</f>
        <v>945</v>
      </c>
    </row>
    <row r="90" spans="1:11" x14ac:dyDescent="0.4">
      <c r="A90" s="1" t="s">
        <v>181</v>
      </c>
      <c r="B90" s="3">
        <v>46159</v>
      </c>
      <c r="C90" s="1" t="s">
        <v>58</v>
      </c>
      <c r="D90" s="1" t="s">
        <v>12</v>
      </c>
      <c r="E90" s="1" t="s">
        <v>83</v>
      </c>
      <c r="F90" s="1" t="s">
        <v>91</v>
      </c>
      <c r="G90" s="1">
        <v>1</v>
      </c>
      <c r="H90" s="1">
        <v>250</v>
      </c>
      <c r="I90" s="1" t="s">
        <v>36</v>
      </c>
      <c r="J90" s="1" t="s">
        <v>75</v>
      </c>
      <c r="K90" s="1">
        <f>Table1[[#This Row],[Quantity]]*Table1[[#This Row],[Unit Price]]</f>
        <v>250</v>
      </c>
    </row>
    <row r="91" spans="1:11" x14ac:dyDescent="0.4">
      <c r="A91" s="1" t="s">
        <v>182</v>
      </c>
      <c r="B91" s="3">
        <v>46115</v>
      </c>
      <c r="C91" s="1" t="s">
        <v>153</v>
      </c>
      <c r="D91" s="1" t="s">
        <v>14</v>
      </c>
      <c r="E91" s="1" t="s">
        <v>16</v>
      </c>
      <c r="F91" s="1" t="s">
        <v>154</v>
      </c>
      <c r="G91" s="1">
        <v>1</v>
      </c>
      <c r="H91" s="1">
        <v>94.5</v>
      </c>
      <c r="I91" s="1" t="s">
        <v>74</v>
      </c>
      <c r="J91" s="1" t="s">
        <v>73</v>
      </c>
      <c r="K91" s="1">
        <f>Table1[[#This Row],[Quantity]]*Table1[[#This Row],[Unit Price]]</f>
        <v>94.5</v>
      </c>
    </row>
    <row r="92" spans="1:11" x14ac:dyDescent="0.4">
      <c r="A92" s="1" t="s">
        <v>183</v>
      </c>
      <c r="B92" s="3">
        <v>46295</v>
      </c>
      <c r="C92" s="1" t="s">
        <v>35</v>
      </c>
      <c r="D92" s="1" t="s">
        <v>12</v>
      </c>
      <c r="E92" s="1" t="s">
        <v>83</v>
      </c>
      <c r="F92" s="1" t="s">
        <v>91</v>
      </c>
      <c r="G92" s="1">
        <v>2</v>
      </c>
      <c r="H92" s="1">
        <v>237.5</v>
      </c>
      <c r="I92" s="1" t="s">
        <v>19</v>
      </c>
      <c r="J92" s="1" t="s">
        <v>81</v>
      </c>
      <c r="K92" s="1">
        <f>Table1[[#This Row],[Quantity]]*Table1[[#This Row],[Unit Price]]</f>
        <v>475</v>
      </c>
    </row>
    <row r="93" spans="1:11" x14ac:dyDescent="0.4">
      <c r="A93" s="1" t="s">
        <v>184</v>
      </c>
      <c r="B93" s="3">
        <v>46290</v>
      </c>
      <c r="C93" s="1" t="s">
        <v>61</v>
      </c>
      <c r="D93" s="1" t="s">
        <v>25</v>
      </c>
      <c r="E93" s="1" t="s">
        <v>23</v>
      </c>
      <c r="F93" s="1" t="s">
        <v>48</v>
      </c>
      <c r="G93" s="1">
        <v>2</v>
      </c>
      <c r="H93" s="1">
        <v>1045</v>
      </c>
      <c r="I93" s="1" t="s">
        <v>36</v>
      </c>
      <c r="J93" s="1" t="s">
        <v>81</v>
      </c>
      <c r="K93" s="1">
        <f>Table1[[#This Row],[Quantity]]*Table1[[#This Row],[Unit Price]]</f>
        <v>2090</v>
      </c>
    </row>
    <row r="94" spans="1:11" x14ac:dyDescent="0.4">
      <c r="A94" s="1" t="s">
        <v>185</v>
      </c>
      <c r="B94" s="3">
        <v>46253</v>
      </c>
      <c r="C94" s="1" t="s">
        <v>52</v>
      </c>
      <c r="D94" s="1" t="s">
        <v>12</v>
      </c>
      <c r="E94" s="1" t="s">
        <v>79</v>
      </c>
      <c r="F94" s="1" t="s">
        <v>107</v>
      </c>
      <c r="G94" s="1">
        <v>2</v>
      </c>
      <c r="H94" s="1">
        <v>1890</v>
      </c>
      <c r="I94" s="1" t="s">
        <v>36</v>
      </c>
      <c r="J94" s="1" t="s">
        <v>33</v>
      </c>
      <c r="K94" s="1">
        <f>Table1[[#This Row],[Quantity]]*Table1[[#This Row],[Unit Price]]</f>
        <v>3780</v>
      </c>
    </row>
    <row r="95" spans="1:11" x14ac:dyDescent="0.4">
      <c r="A95" s="1" t="s">
        <v>186</v>
      </c>
      <c r="B95" s="3">
        <v>46143</v>
      </c>
      <c r="C95" s="1" t="s">
        <v>95</v>
      </c>
      <c r="D95" s="1" t="s">
        <v>17</v>
      </c>
      <c r="E95" s="1" t="s">
        <v>16</v>
      </c>
      <c r="F95" s="1" t="s">
        <v>154</v>
      </c>
      <c r="G95" s="1">
        <v>2</v>
      </c>
      <c r="H95" s="1">
        <v>99</v>
      </c>
      <c r="I95" s="1" t="s">
        <v>19</v>
      </c>
      <c r="J95" s="1" t="s">
        <v>33</v>
      </c>
      <c r="K95" s="1">
        <f>Table1[[#This Row],[Quantity]]*Table1[[#This Row],[Unit Price]]</f>
        <v>198</v>
      </c>
    </row>
    <row r="96" spans="1:11" x14ac:dyDescent="0.4">
      <c r="A96" s="1" t="s">
        <v>187</v>
      </c>
      <c r="B96" s="3">
        <v>46236</v>
      </c>
      <c r="C96" s="1" t="s">
        <v>85</v>
      </c>
      <c r="D96" s="1" t="s">
        <v>12</v>
      </c>
      <c r="E96" s="1" t="s">
        <v>23</v>
      </c>
      <c r="F96" s="1" t="s">
        <v>62</v>
      </c>
      <c r="G96" s="1">
        <v>4</v>
      </c>
      <c r="H96" s="1">
        <v>770</v>
      </c>
      <c r="I96" s="1" t="s">
        <v>11</v>
      </c>
      <c r="J96" s="1" t="s">
        <v>33</v>
      </c>
      <c r="K96" s="1">
        <f>Table1[[#This Row],[Quantity]]*Table1[[#This Row],[Unit Price]]</f>
        <v>3080</v>
      </c>
    </row>
    <row r="97" spans="1:11" x14ac:dyDescent="0.4">
      <c r="A97" s="1" t="s">
        <v>188</v>
      </c>
      <c r="B97" s="3">
        <v>46188</v>
      </c>
      <c r="C97" s="1" t="s">
        <v>29</v>
      </c>
      <c r="D97" s="1" t="s">
        <v>17</v>
      </c>
      <c r="E97" s="1" t="s">
        <v>23</v>
      </c>
      <c r="F97" s="1" t="s">
        <v>18</v>
      </c>
      <c r="G97" s="1">
        <v>2</v>
      </c>
      <c r="H97" s="1">
        <v>450</v>
      </c>
      <c r="I97" s="1" t="s">
        <v>36</v>
      </c>
      <c r="J97" s="1" t="s">
        <v>30</v>
      </c>
      <c r="K97" s="1">
        <f>Table1[[#This Row],[Quantity]]*Table1[[#This Row],[Unit Price]]</f>
        <v>900</v>
      </c>
    </row>
    <row r="98" spans="1:11" x14ac:dyDescent="0.4">
      <c r="A98" s="1" t="s">
        <v>189</v>
      </c>
      <c r="B98" s="3">
        <v>46126</v>
      </c>
      <c r="C98" s="1" t="s">
        <v>190</v>
      </c>
      <c r="D98" s="1" t="s">
        <v>25</v>
      </c>
      <c r="E98" s="1" t="s">
        <v>23</v>
      </c>
      <c r="F98" s="1" t="s">
        <v>71</v>
      </c>
      <c r="G98" s="1">
        <v>3</v>
      </c>
      <c r="H98" s="1">
        <v>800</v>
      </c>
      <c r="I98" s="1" t="s">
        <v>11</v>
      </c>
      <c r="J98" s="1" t="s">
        <v>30</v>
      </c>
      <c r="K98" s="1">
        <f>Table1[[#This Row],[Quantity]]*Table1[[#This Row],[Unit Price]]</f>
        <v>2400</v>
      </c>
    </row>
    <row r="99" spans="1:11" x14ac:dyDescent="0.4">
      <c r="A99" s="1" t="s">
        <v>191</v>
      </c>
      <c r="B99" s="3">
        <v>46259</v>
      </c>
      <c r="C99" s="1" t="s">
        <v>58</v>
      </c>
      <c r="D99" s="1" t="s">
        <v>17</v>
      </c>
      <c r="E99" s="1" t="s">
        <v>23</v>
      </c>
      <c r="F99" s="1" t="s">
        <v>71</v>
      </c>
      <c r="G99" s="1">
        <v>2</v>
      </c>
      <c r="H99" s="1">
        <v>840</v>
      </c>
      <c r="I99" s="1" t="s">
        <v>11</v>
      </c>
      <c r="J99" s="1" t="s">
        <v>37</v>
      </c>
      <c r="K99" s="1">
        <f>Table1[[#This Row],[Quantity]]*Table1[[#This Row],[Unit Price]]</f>
        <v>1680</v>
      </c>
    </row>
    <row r="100" spans="1:11" x14ac:dyDescent="0.4">
      <c r="A100" s="1" t="s">
        <v>192</v>
      </c>
      <c r="B100" s="3">
        <v>46235</v>
      </c>
      <c r="C100" s="1" t="s">
        <v>153</v>
      </c>
      <c r="D100" s="1" t="s">
        <v>24</v>
      </c>
      <c r="E100" s="1" t="s">
        <v>10</v>
      </c>
      <c r="F100" s="1" t="s">
        <v>72</v>
      </c>
      <c r="G100" s="1">
        <v>5</v>
      </c>
      <c r="H100" s="1">
        <v>3675</v>
      </c>
      <c r="I100" s="1" t="s">
        <v>11</v>
      </c>
      <c r="J100" s="1" t="s">
        <v>33</v>
      </c>
      <c r="K100" s="1">
        <f>Table1[[#This Row],[Quantity]]*Table1[[#This Row],[Unit Price]]</f>
        <v>18375</v>
      </c>
    </row>
    <row r="101" spans="1:11" x14ac:dyDescent="0.4">
      <c r="A101" s="1" t="s">
        <v>193</v>
      </c>
      <c r="B101" s="3">
        <v>46151</v>
      </c>
      <c r="C101" s="1" t="s">
        <v>39</v>
      </c>
      <c r="D101" s="1" t="s">
        <v>21</v>
      </c>
      <c r="E101" s="1" t="s">
        <v>23</v>
      </c>
      <c r="F101" s="1" t="s">
        <v>98</v>
      </c>
      <c r="G101" s="1">
        <v>1</v>
      </c>
      <c r="H101" s="1">
        <v>600</v>
      </c>
      <c r="I101" s="1" t="s">
        <v>19</v>
      </c>
      <c r="J101" s="1" t="s">
        <v>75</v>
      </c>
      <c r="K101" s="1">
        <f>Table1[[#This Row],[Quantity]]*Table1[[#This Row],[Unit Price]]</f>
        <v>600</v>
      </c>
    </row>
    <row r="102" spans="1:11" x14ac:dyDescent="0.4">
      <c r="A102" s="1" t="s">
        <v>194</v>
      </c>
      <c r="B102" s="3">
        <v>46210</v>
      </c>
      <c r="C102" s="1" t="s">
        <v>90</v>
      </c>
      <c r="D102" s="1" t="s">
        <v>21</v>
      </c>
      <c r="E102" s="1" t="s">
        <v>83</v>
      </c>
      <c r="F102" s="1" t="s">
        <v>129</v>
      </c>
      <c r="G102" s="1">
        <v>6</v>
      </c>
      <c r="H102" s="1">
        <v>450</v>
      </c>
      <c r="I102" s="1" t="s">
        <v>36</v>
      </c>
      <c r="J102" s="1" t="s">
        <v>75</v>
      </c>
      <c r="K102" s="1">
        <f>Table1[[#This Row],[Quantity]]*Table1[[#This Row],[Unit Price]]</f>
        <v>2700</v>
      </c>
    </row>
    <row r="103" spans="1:11" x14ac:dyDescent="0.4">
      <c r="A103" s="1" t="s">
        <v>195</v>
      </c>
      <c r="B103" s="3">
        <v>46271</v>
      </c>
      <c r="C103" s="1" t="s">
        <v>95</v>
      </c>
      <c r="D103" s="1" t="s">
        <v>14</v>
      </c>
      <c r="E103" s="1" t="s">
        <v>10</v>
      </c>
      <c r="F103" s="1" t="s">
        <v>20</v>
      </c>
      <c r="G103" s="1">
        <v>3</v>
      </c>
      <c r="H103" s="1">
        <v>285</v>
      </c>
      <c r="I103" s="1" t="s">
        <v>19</v>
      </c>
      <c r="J103" s="1" t="s">
        <v>37</v>
      </c>
      <c r="K103" s="1">
        <f>Table1[[#This Row],[Quantity]]*Table1[[#This Row],[Unit Price]]</f>
        <v>855</v>
      </c>
    </row>
    <row r="104" spans="1:11" x14ac:dyDescent="0.4">
      <c r="A104" s="1" t="s">
        <v>196</v>
      </c>
      <c r="B104" s="3">
        <v>46282</v>
      </c>
      <c r="C104" s="1" t="s">
        <v>102</v>
      </c>
      <c r="D104" s="1" t="s">
        <v>24</v>
      </c>
      <c r="E104" s="1" t="s">
        <v>10</v>
      </c>
      <c r="F104" s="1" t="s">
        <v>68</v>
      </c>
      <c r="G104" s="1">
        <v>1</v>
      </c>
      <c r="H104" s="1">
        <v>2500</v>
      </c>
      <c r="I104" s="1" t="s">
        <v>19</v>
      </c>
      <c r="J104" s="1" t="s">
        <v>30</v>
      </c>
      <c r="K104" s="1">
        <f>Table1[[#This Row],[Quantity]]*Table1[[#This Row],[Unit Price]]</f>
        <v>2500</v>
      </c>
    </row>
    <row r="105" spans="1:11" x14ac:dyDescent="0.4">
      <c r="A105" s="1" t="s">
        <v>197</v>
      </c>
      <c r="B105" s="3">
        <v>46217</v>
      </c>
      <c r="C105" s="1" t="s">
        <v>55</v>
      </c>
      <c r="D105" s="1" t="s">
        <v>8</v>
      </c>
      <c r="E105" s="1" t="s">
        <v>83</v>
      </c>
      <c r="F105" s="1" t="s">
        <v>129</v>
      </c>
      <c r="G105" s="1">
        <v>3</v>
      </c>
      <c r="H105" s="1">
        <v>472.5</v>
      </c>
      <c r="I105" s="1" t="s">
        <v>19</v>
      </c>
      <c r="J105" s="1" t="s">
        <v>37</v>
      </c>
      <c r="K105" s="1">
        <f>Table1[[#This Row],[Quantity]]*Table1[[#This Row],[Unit Price]]</f>
        <v>1417.5</v>
      </c>
    </row>
    <row r="106" spans="1:11" x14ac:dyDescent="0.4">
      <c r="A106" s="1" t="s">
        <v>198</v>
      </c>
      <c r="B106" s="3">
        <v>46293</v>
      </c>
      <c r="C106" s="1" t="s">
        <v>35</v>
      </c>
      <c r="D106" s="1" t="s">
        <v>14</v>
      </c>
      <c r="E106" s="1" t="s">
        <v>23</v>
      </c>
      <c r="F106" s="1" t="s">
        <v>71</v>
      </c>
      <c r="G106" s="1">
        <v>4</v>
      </c>
      <c r="H106" s="1">
        <v>840</v>
      </c>
      <c r="I106" s="1" t="s">
        <v>36</v>
      </c>
      <c r="J106" s="1" t="s">
        <v>73</v>
      </c>
      <c r="K106" s="1">
        <f>Table1[[#This Row],[Quantity]]*Table1[[#This Row],[Unit Price]]</f>
        <v>3360</v>
      </c>
    </row>
    <row r="107" spans="1:11" x14ac:dyDescent="0.4">
      <c r="A107" s="1" t="s">
        <v>199</v>
      </c>
      <c r="B107" s="3">
        <v>46263</v>
      </c>
      <c r="C107" s="1" t="s">
        <v>50</v>
      </c>
      <c r="D107" s="1" t="s">
        <v>17</v>
      </c>
      <c r="E107" s="1" t="s">
        <v>16</v>
      </c>
      <c r="F107" s="1" t="s">
        <v>154</v>
      </c>
      <c r="G107" s="1">
        <v>2</v>
      </c>
      <c r="H107" s="1">
        <v>99</v>
      </c>
      <c r="I107" s="1" t="s">
        <v>36</v>
      </c>
      <c r="J107" s="1" t="s">
        <v>33</v>
      </c>
      <c r="K107" s="1">
        <f>Table1[[#This Row],[Quantity]]*Table1[[#This Row],[Unit Price]]</f>
        <v>198</v>
      </c>
    </row>
    <row r="108" spans="1:11" x14ac:dyDescent="0.4">
      <c r="A108" s="1" t="s">
        <v>200</v>
      </c>
      <c r="B108" s="3">
        <v>46131</v>
      </c>
      <c r="C108" s="1" t="s">
        <v>85</v>
      </c>
      <c r="D108" s="1" t="s">
        <v>12</v>
      </c>
      <c r="E108" s="1" t="s">
        <v>10</v>
      </c>
      <c r="F108" s="1" t="s">
        <v>20</v>
      </c>
      <c r="G108" s="1">
        <v>1</v>
      </c>
      <c r="H108" s="1">
        <v>300</v>
      </c>
      <c r="I108" s="1" t="s">
        <v>74</v>
      </c>
      <c r="J108" s="1" t="s">
        <v>30</v>
      </c>
      <c r="K108" s="1">
        <f>Table1[[#This Row],[Quantity]]*Table1[[#This Row],[Unit Price]]</f>
        <v>300</v>
      </c>
    </row>
    <row r="109" spans="1:11" x14ac:dyDescent="0.4">
      <c r="A109" s="1" t="s">
        <v>201</v>
      </c>
      <c r="B109" s="3">
        <v>46232</v>
      </c>
      <c r="C109" s="1" t="s">
        <v>202</v>
      </c>
      <c r="D109" s="1" t="s">
        <v>25</v>
      </c>
      <c r="E109" s="1" t="s">
        <v>23</v>
      </c>
      <c r="F109" s="1" t="s">
        <v>98</v>
      </c>
      <c r="G109" s="1">
        <v>3</v>
      </c>
      <c r="H109" s="1">
        <v>600</v>
      </c>
      <c r="I109" s="1" t="s">
        <v>74</v>
      </c>
      <c r="J109" s="1" t="s">
        <v>30</v>
      </c>
      <c r="K109" s="1">
        <f>Table1[[#This Row],[Quantity]]*Table1[[#This Row],[Unit Price]]</f>
        <v>1800</v>
      </c>
    </row>
    <row r="110" spans="1:11" x14ac:dyDescent="0.4">
      <c r="A110" s="1" t="s">
        <v>203</v>
      </c>
      <c r="B110" s="3">
        <v>46266</v>
      </c>
      <c r="C110" s="1" t="s">
        <v>85</v>
      </c>
      <c r="D110" s="1" t="s">
        <v>12</v>
      </c>
      <c r="E110" s="1" t="s">
        <v>10</v>
      </c>
      <c r="F110" s="1" t="s">
        <v>42</v>
      </c>
      <c r="G110" s="1">
        <v>5</v>
      </c>
      <c r="H110" s="1">
        <v>1800</v>
      </c>
      <c r="I110" s="1" t="s">
        <v>11</v>
      </c>
      <c r="J110" s="1" t="s">
        <v>30</v>
      </c>
      <c r="K110" s="1">
        <f>Table1[[#This Row],[Quantity]]*Table1[[#This Row],[Unit Price]]</f>
        <v>9000</v>
      </c>
    </row>
    <row r="111" spans="1:11" x14ac:dyDescent="0.4">
      <c r="A111" s="1" t="s">
        <v>204</v>
      </c>
      <c r="B111" s="3">
        <v>46171</v>
      </c>
      <c r="C111" s="1" t="s">
        <v>30</v>
      </c>
      <c r="D111" s="1" t="s">
        <v>8</v>
      </c>
      <c r="E111" s="1" t="s">
        <v>10</v>
      </c>
      <c r="F111" s="1" t="s">
        <v>13</v>
      </c>
      <c r="G111" s="1">
        <v>10</v>
      </c>
      <c r="H111" s="1">
        <v>1200</v>
      </c>
      <c r="I111" s="1" t="s">
        <v>19</v>
      </c>
      <c r="J111" s="1" t="s">
        <v>81</v>
      </c>
      <c r="K111" s="1">
        <f>Table1[[#This Row],[Quantity]]*Table1[[#This Row],[Unit Price]]</f>
        <v>12000</v>
      </c>
    </row>
    <row r="112" spans="1:11" x14ac:dyDescent="0.4">
      <c r="A112" s="1" t="s">
        <v>205</v>
      </c>
      <c r="B112" s="3">
        <v>46245</v>
      </c>
      <c r="C112" s="1" t="s">
        <v>30</v>
      </c>
      <c r="D112" s="1" t="s">
        <v>21</v>
      </c>
      <c r="E112" s="1" t="s">
        <v>83</v>
      </c>
      <c r="F112" s="1" t="s">
        <v>129</v>
      </c>
      <c r="G112" s="1">
        <v>6</v>
      </c>
      <c r="H112" s="1">
        <v>450</v>
      </c>
      <c r="I112" s="1" t="s">
        <v>74</v>
      </c>
      <c r="J112" s="1" t="s">
        <v>30</v>
      </c>
      <c r="K112" s="1">
        <f>Table1[[#This Row],[Quantity]]*Table1[[#This Row],[Unit Price]]</f>
        <v>2700</v>
      </c>
    </row>
    <row r="113" spans="1:11" x14ac:dyDescent="0.4">
      <c r="A113" s="1" t="s">
        <v>206</v>
      </c>
      <c r="B113" s="3">
        <v>46233</v>
      </c>
      <c r="C113" s="1" t="s">
        <v>111</v>
      </c>
      <c r="D113" s="1" t="s">
        <v>24</v>
      </c>
      <c r="E113" s="1" t="s">
        <v>79</v>
      </c>
      <c r="F113" s="1" t="s">
        <v>80</v>
      </c>
      <c r="G113" s="1">
        <v>2</v>
      </c>
      <c r="H113" s="1">
        <v>500</v>
      </c>
      <c r="I113" s="1" t="s">
        <v>19</v>
      </c>
      <c r="J113" s="1" t="s">
        <v>37</v>
      </c>
      <c r="K113" s="1">
        <f>Table1[[#This Row],[Quantity]]*Table1[[#This Row],[Unit Price]]</f>
        <v>1000</v>
      </c>
    </row>
    <row r="114" spans="1:11" x14ac:dyDescent="0.4">
      <c r="A114" s="1" t="s">
        <v>207</v>
      </c>
      <c r="B114" s="3">
        <v>46218</v>
      </c>
      <c r="C114" s="1" t="s">
        <v>160</v>
      </c>
      <c r="D114" s="1" t="s">
        <v>8</v>
      </c>
      <c r="E114" s="1" t="s">
        <v>83</v>
      </c>
      <c r="F114" s="1" t="s">
        <v>91</v>
      </c>
      <c r="G114" s="1">
        <v>2</v>
      </c>
      <c r="H114" s="1">
        <v>262.5</v>
      </c>
      <c r="I114" s="1" t="s">
        <v>74</v>
      </c>
      <c r="J114" s="1" t="s">
        <v>30</v>
      </c>
      <c r="K114" s="1">
        <f>Table1[[#This Row],[Quantity]]*Table1[[#This Row],[Unit Price]]</f>
        <v>525</v>
      </c>
    </row>
    <row r="115" spans="1:11" x14ac:dyDescent="0.4">
      <c r="A115" s="1" t="s">
        <v>208</v>
      </c>
      <c r="B115" s="3">
        <v>46193</v>
      </c>
      <c r="C115" s="1" t="s">
        <v>90</v>
      </c>
      <c r="D115" s="1" t="s">
        <v>8</v>
      </c>
      <c r="E115" s="1" t="s">
        <v>23</v>
      </c>
      <c r="F115" s="1" t="s">
        <v>53</v>
      </c>
      <c r="G115" s="1">
        <v>2</v>
      </c>
      <c r="H115" s="1">
        <v>577.5</v>
      </c>
      <c r="I115" s="1" t="s">
        <v>74</v>
      </c>
      <c r="J115" s="1" t="s">
        <v>81</v>
      </c>
      <c r="K115" s="1">
        <f>Table1[[#This Row],[Quantity]]*Table1[[#This Row],[Unit Price]]</f>
        <v>1155</v>
      </c>
    </row>
    <row r="116" spans="1:11" x14ac:dyDescent="0.4">
      <c r="A116" s="1" t="s">
        <v>209</v>
      </c>
      <c r="B116" s="3">
        <v>46126</v>
      </c>
      <c r="C116" s="1" t="s">
        <v>95</v>
      </c>
      <c r="D116" s="1" t="s">
        <v>25</v>
      </c>
      <c r="E116" s="1" t="s">
        <v>16</v>
      </c>
      <c r="F116" s="1" t="s">
        <v>154</v>
      </c>
      <c r="G116" s="1">
        <v>2</v>
      </c>
      <c r="H116" s="1">
        <v>99</v>
      </c>
      <c r="I116" s="1" t="s">
        <v>74</v>
      </c>
      <c r="J116" s="1" t="s">
        <v>30</v>
      </c>
      <c r="K116" s="1">
        <f>Table1[[#This Row],[Quantity]]*Table1[[#This Row],[Unit Price]]</f>
        <v>198</v>
      </c>
    </row>
    <row r="117" spans="1:11" x14ac:dyDescent="0.4">
      <c r="A117" s="1" t="s">
        <v>210</v>
      </c>
      <c r="B117" s="3">
        <v>46165</v>
      </c>
      <c r="C117" s="1" t="s">
        <v>70</v>
      </c>
      <c r="D117" s="1" t="s">
        <v>25</v>
      </c>
      <c r="E117" s="1" t="s">
        <v>23</v>
      </c>
      <c r="F117" s="1" t="s">
        <v>62</v>
      </c>
      <c r="G117" s="1">
        <v>3</v>
      </c>
      <c r="H117" s="1">
        <v>700</v>
      </c>
      <c r="I117" s="1" t="s">
        <v>11</v>
      </c>
      <c r="J117" s="1" t="s">
        <v>30</v>
      </c>
      <c r="K117" s="1">
        <f>Table1[[#This Row],[Quantity]]*Table1[[#This Row],[Unit Price]]</f>
        <v>2100</v>
      </c>
    </row>
    <row r="118" spans="1:11" x14ac:dyDescent="0.4">
      <c r="A118" s="1" t="s">
        <v>211</v>
      </c>
      <c r="B118" s="3">
        <v>46274</v>
      </c>
      <c r="C118" s="1" t="s">
        <v>102</v>
      </c>
      <c r="D118" s="1" t="s">
        <v>8</v>
      </c>
      <c r="E118" s="1" t="s">
        <v>23</v>
      </c>
      <c r="F118" s="1" t="s">
        <v>48</v>
      </c>
      <c r="G118" s="1">
        <v>4</v>
      </c>
      <c r="H118" s="1">
        <v>950</v>
      </c>
      <c r="I118" s="1" t="s">
        <v>74</v>
      </c>
      <c r="J118" s="1" t="s">
        <v>30</v>
      </c>
      <c r="K118" s="1">
        <f>Table1[[#This Row],[Quantity]]*Table1[[#This Row],[Unit Price]]</f>
        <v>3800</v>
      </c>
    </row>
    <row r="119" spans="1:11" x14ac:dyDescent="0.4">
      <c r="A119" s="1" t="s">
        <v>212</v>
      </c>
      <c r="B119" s="3">
        <v>46170</v>
      </c>
      <c r="C119" s="1" t="s">
        <v>190</v>
      </c>
      <c r="D119" s="1" t="s">
        <v>17</v>
      </c>
      <c r="E119" s="1" t="s">
        <v>10</v>
      </c>
      <c r="F119" s="1" t="s">
        <v>72</v>
      </c>
      <c r="G119" s="1">
        <v>2</v>
      </c>
      <c r="H119" s="1">
        <v>3325</v>
      </c>
      <c r="I119" s="1" t="s">
        <v>74</v>
      </c>
      <c r="J119" s="1" t="s">
        <v>73</v>
      </c>
      <c r="K119" s="1">
        <f>Table1[[#This Row],[Quantity]]*Table1[[#This Row],[Unit Price]]</f>
        <v>6650</v>
      </c>
    </row>
    <row r="120" spans="1:11" x14ac:dyDescent="0.4">
      <c r="A120" s="1" t="s">
        <v>213</v>
      </c>
      <c r="B120" s="3">
        <v>46187</v>
      </c>
      <c r="C120" s="1" t="s">
        <v>153</v>
      </c>
      <c r="D120" s="1" t="s">
        <v>14</v>
      </c>
      <c r="E120" s="1" t="s">
        <v>23</v>
      </c>
      <c r="F120" s="1" t="s">
        <v>62</v>
      </c>
      <c r="G120" s="1">
        <v>2</v>
      </c>
      <c r="H120" s="1">
        <v>735</v>
      </c>
      <c r="I120" s="1" t="s">
        <v>74</v>
      </c>
      <c r="J120" s="1" t="s">
        <v>75</v>
      </c>
      <c r="K120" s="1">
        <f>Table1[[#This Row],[Quantity]]*Table1[[#This Row],[Unit Price]]</f>
        <v>1470</v>
      </c>
    </row>
    <row r="121" spans="1:11" x14ac:dyDescent="0.4">
      <c r="A121" s="1" t="s">
        <v>214</v>
      </c>
      <c r="B121" s="3">
        <v>46150</v>
      </c>
      <c r="C121" s="1" t="s">
        <v>202</v>
      </c>
      <c r="D121" s="1" t="s">
        <v>17</v>
      </c>
      <c r="E121" s="1" t="s">
        <v>86</v>
      </c>
      <c r="F121" s="1" t="s">
        <v>87</v>
      </c>
      <c r="G121" s="1">
        <v>1</v>
      </c>
      <c r="H121" s="1">
        <v>1980</v>
      </c>
      <c r="I121" s="1" t="s">
        <v>11</v>
      </c>
      <c r="J121" s="1" t="s">
        <v>37</v>
      </c>
      <c r="K121" s="1">
        <f>Table1[[#This Row],[Quantity]]*Table1[[#This Row],[Unit Price]]</f>
        <v>1980</v>
      </c>
    </row>
    <row r="122" spans="1:11" x14ac:dyDescent="0.4">
      <c r="A122" s="1" t="s">
        <v>215</v>
      </c>
      <c r="B122" s="3">
        <v>46219</v>
      </c>
      <c r="C122" s="1" t="s">
        <v>52</v>
      </c>
      <c r="D122" s="1" t="s">
        <v>8</v>
      </c>
      <c r="E122" s="1" t="s">
        <v>79</v>
      </c>
      <c r="F122" s="1" t="s">
        <v>107</v>
      </c>
      <c r="G122" s="1">
        <v>6</v>
      </c>
      <c r="H122" s="1">
        <v>1980</v>
      </c>
      <c r="I122" s="1" t="s">
        <v>36</v>
      </c>
      <c r="J122" s="1" t="s">
        <v>73</v>
      </c>
      <c r="K122" s="1">
        <f>Table1[[#This Row],[Quantity]]*Table1[[#This Row],[Unit Price]]</f>
        <v>11880</v>
      </c>
    </row>
    <row r="123" spans="1:11" x14ac:dyDescent="0.4">
      <c r="A123" s="1" t="s">
        <v>216</v>
      </c>
      <c r="B123" s="3">
        <v>46189</v>
      </c>
      <c r="C123" s="1" t="s">
        <v>102</v>
      </c>
      <c r="D123" s="1" t="s">
        <v>25</v>
      </c>
      <c r="E123" s="1" t="s">
        <v>83</v>
      </c>
      <c r="F123" s="1" t="s">
        <v>91</v>
      </c>
      <c r="G123" s="1">
        <v>5</v>
      </c>
      <c r="H123" s="1">
        <v>262.5</v>
      </c>
      <c r="I123" s="1" t="s">
        <v>36</v>
      </c>
      <c r="J123" s="1" t="s">
        <v>37</v>
      </c>
      <c r="K123" s="1">
        <f>Table1[[#This Row],[Quantity]]*Table1[[#This Row],[Unit Price]]</f>
        <v>1312.5</v>
      </c>
    </row>
    <row r="124" spans="1:11" x14ac:dyDescent="0.4">
      <c r="A124" s="1" t="s">
        <v>217</v>
      </c>
      <c r="B124" s="3">
        <v>46254</v>
      </c>
      <c r="C124" s="1" t="s">
        <v>90</v>
      </c>
      <c r="D124" s="1" t="s">
        <v>14</v>
      </c>
      <c r="E124" s="1" t="s">
        <v>86</v>
      </c>
      <c r="F124" s="1" t="s">
        <v>87</v>
      </c>
      <c r="G124" s="1">
        <v>2</v>
      </c>
      <c r="H124" s="1">
        <v>1800</v>
      </c>
      <c r="I124" s="1" t="s">
        <v>19</v>
      </c>
      <c r="J124" s="1" t="s">
        <v>75</v>
      </c>
      <c r="K124" s="1">
        <f>Table1[[#This Row],[Quantity]]*Table1[[#This Row],[Unit Price]]</f>
        <v>3600</v>
      </c>
    </row>
    <row r="125" spans="1:11" x14ac:dyDescent="0.4">
      <c r="A125" s="1" t="s">
        <v>218</v>
      </c>
      <c r="B125" s="3">
        <v>46211</v>
      </c>
      <c r="C125" s="1" t="s">
        <v>32</v>
      </c>
      <c r="D125" s="1" t="s">
        <v>22</v>
      </c>
      <c r="E125" s="1" t="s">
        <v>23</v>
      </c>
      <c r="F125" s="1" t="s">
        <v>18</v>
      </c>
      <c r="G125" s="1">
        <v>5</v>
      </c>
      <c r="H125" s="1">
        <v>472.5</v>
      </c>
      <c r="I125" s="1" t="s">
        <v>74</v>
      </c>
      <c r="J125" s="1" t="s">
        <v>73</v>
      </c>
      <c r="K125" s="1">
        <f>Table1[[#This Row],[Quantity]]*Table1[[#This Row],[Unit Price]]</f>
        <v>2362.5</v>
      </c>
    </row>
    <row r="126" spans="1:11" x14ac:dyDescent="0.4">
      <c r="A126" s="1" t="s">
        <v>219</v>
      </c>
      <c r="B126" s="3">
        <v>46210</v>
      </c>
      <c r="C126" s="1" t="s">
        <v>153</v>
      </c>
      <c r="D126" s="1" t="s">
        <v>8</v>
      </c>
      <c r="E126" s="1" t="s">
        <v>86</v>
      </c>
      <c r="F126" s="1" t="s">
        <v>87</v>
      </c>
      <c r="G126" s="1">
        <v>10</v>
      </c>
      <c r="H126" s="1">
        <v>1800</v>
      </c>
      <c r="I126" s="1" t="s">
        <v>19</v>
      </c>
      <c r="J126" s="1" t="s">
        <v>75</v>
      </c>
      <c r="K126" s="1">
        <f>Table1[[#This Row],[Quantity]]*Table1[[#This Row],[Unit Price]]</f>
        <v>18000</v>
      </c>
    </row>
    <row r="127" spans="1:11" x14ac:dyDescent="0.4">
      <c r="A127" s="1" t="s">
        <v>220</v>
      </c>
      <c r="B127" s="3">
        <v>46264</v>
      </c>
      <c r="C127" s="1" t="s">
        <v>39</v>
      </c>
      <c r="D127" s="1" t="s">
        <v>25</v>
      </c>
      <c r="E127" s="1" t="s">
        <v>79</v>
      </c>
      <c r="F127" s="1" t="s">
        <v>107</v>
      </c>
      <c r="G127" s="1">
        <v>5</v>
      </c>
      <c r="H127" s="1">
        <v>1890</v>
      </c>
      <c r="I127" s="1" t="s">
        <v>11</v>
      </c>
      <c r="J127" s="1" t="s">
        <v>73</v>
      </c>
      <c r="K127" s="1">
        <f>Table1[[#This Row],[Quantity]]*Table1[[#This Row],[Unit Price]]</f>
        <v>9450</v>
      </c>
    </row>
    <row r="128" spans="1:11" x14ac:dyDescent="0.4">
      <c r="A128" s="1" t="s">
        <v>221</v>
      </c>
      <c r="B128" s="3">
        <v>46149</v>
      </c>
      <c r="C128" s="1" t="s">
        <v>35</v>
      </c>
      <c r="D128" s="1" t="s">
        <v>25</v>
      </c>
      <c r="E128" s="1" t="s">
        <v>86</v>
      </c>
      <c r="F128" s="1" t="s">
        <v>112</v>
      </c>
      <c r="G128" s="1">
        <v>5</v>
      </c>
      <c r="H128" s="1">
        <v>900</v>
      </c>
      <c r="I128" s="1" t="s">
        <v>36</v>
      </c>
      <c r="J128" s="1" t="s">
        <v>37</v>
      </c>
      <c r="K128" s="1">
        <f>Table1[[#This Row],[Quantity]]*Table1[[#This Row],[Unit Price]]</f>
        <v>4500</v>
      </c>
    </row>
    <row r="129" spans="1:11" x14ac:dyDescent="0.4">
      <c r="A129" s="1" t="s">
        <v>222</v>
      </c>
      <c r="B129" s="3">
        <v>46272</v>
      </c>
      <c r="C129" s="1" t="s">
        <v>90</v>
      </c>
      <c r="D129" s="1" t="s">
        <v>21</v>
      </c>
      <c r="E129" s="1" t="s">
        <v>86</v>
      </c>
      <c r="F129" s="1" t="s">
        <v>89</v>
      </c>
      <c r="G129" s="1">
        <v>3</v>
      </c>
      <c r="H129" s="1">
        <v>700</v>
      </c>
      <c r="I129" s="1" t="s">
        <v>36</v>
      </c>
      <c r="J129" s="1" t="s">
        <v>73</v>
      </c>
      <c r="K129" s="1">
        <f>Table1[[#This Row],[Quantity]]*Table1[[#This Row],[Unit Price]]</f>
        <v>2100</v>
      </c>
    </row>
    <row r="130" spans="1:11" x14ac:dyDescent="0.4">
      <c r="A130" s="1" t="s">
        <v>223</v>
      </c>
      <c r="B130" s="3">
        <v>46237</v>
      </c>
      <c r="C130" s="1" t="s">
        <v>190</v>
      </c>
      <c r="D130" s="1" t="s">
        <v>12</v>
      </c>
      <c r="E130" s="1" t="s">
        <v>10</v>
      </c>
      <c r="F130" s="1" t="s">
        <v>42</v>
      </c>
      <c r="G130" s="1">
        <v>3</v>
      </c>
      <c r="H130" s="1">
        <v>1800</v>
      </c>
      <c r="I130" s="1" t="s">
        <v>19</v>
      </c>
      <c r="J130" s="1" t="s">
        <v>73</v>
      </c>
      <c r="K130" s="1">
        <f>Table1[[#This Row],[Quantity]]*Table1[[#This Row],[Unit Price]]</f>
        <v>5400</v>
      </c>
    </row>
    <row r="131" spans="1:11" x14ac:dyDescent="0.4">
      <c r="A131" s="1" t="s">
        <v>224</v>
      </c>
      <c r="B131" s="3">
        <v>46136</v>
      </c>
      <c r="C131" s="1" t="s">
        <v>70</v>
      </c>
      <c r="D131" s="1" t="s">
        <v>17</v>
      </c>
      <c r="E131" s="1" t="s">
        <v>86</v>
      </c>
      <c r="F131" s="1" t="s">
        <v>93</v>
      </c>
      <c r="G131" s="1">
        <v>8</v>
      </c>
      <c r="H131" s="1">
        <v>1140</v>
      </c>
      <c r="I131" s="1" t="s">
        <v>36</v>
      </c>
      <c r="J131" s="1" t="s">
        <v>30</v>
      </c>
      <c r="K131" s="1">
        <f>Table1[[#This Row],[Quantity]]*Table1[[#This Row],[Unit Price]]</f>
        <v>9120</v>
      </c>
    </row>
    <row r="132" spans="1:11" x14ac:dyDescent="0.4">
      <c r="A132" s="1" t="s">
        <v>225</v>
      </c>
      <c r="B132" s="3">
        <v>46124</v>
      </c>
      <c r="C132" s="1" t="s">
        <v>61</v>
      </c>
      <c r="D132" s="1" t="s">
        <v>22</v>
      </c>
      <c r="E132" s="1" t="s">
        <v>79</v>
      </c>
      <c r="F132" s="1" t="s">
        <v>88</v>
      </c>
      <c r="G132" s="1">
        <v>4</v>
      </c>
      <c r="H132" s="1">
        <v>6500</v>
      </c>
      <c r="I132" s="1" t="s">
        <v>74</v>
      </c>
      <c r="J132" s="1" t="s">
        <v>33</v>
      </c>
      <c r="K132" s="1">
        <f>Table1[[#This Row],[Quantity]]*Table1[[#This Row],[Unit Price]]</f>
        <v>26000</v>
      </c>
    </row>
    <row r="133" spans="1:11" x14ac:dyDescent="0.4">
      <c r="A133" s="1" t="s">
        <v>226</v>
      </c>
      <c r="B133" s="3">
        <v>46175</v>
      </c>
      <c r="C133" s="1" t="s">
        <v>44</v>
      </c>
      <c r="D133" s="1" t="s">
        <v>17</v>
      </c>
      <c r="E133" s="1" t="s">
        <v>86</v>
      </c>
      <c r="F133" s="1" t="s">
        <v>112</v>
      </c>
      <c r="G133" s="1">
        <v>3</v>
      </c>
      <c r="H133" s="1">
        <v>900</v>
      </c>
      <c r="I133" s="1" t="s">
        <v>11</v>
      </c>
      <c r="J133" s="1" t="s">
        <v>75</v>
      </c>
      <c r="K133" s="1">
        <f>Table1[[#This Row],[Quantity]]*Table1[[#This Row],[Unit Price]]</f>
        <v>2700</v>
      </c>
    </row>
    <row r="134" spans="1:11" x14ac:dyDescent="0.4">
      <c r="A134" s="1" t="s">
        <v>227</v>
      </c>
      <c r="B134" s="3">
        <v>46210</v>
      </c>
      <c r="C134" s="1" t="s">
        <v>41</v>
      </c>
      <c r="D134" s="1" t="s">
        <v>14</v>
      </c>
      <c r="E134" s="1" t="s">
        <v>23</v>
      </c>
      <c r="F134" s="1" t="s">
        <v>48</v>
      </c>
      <c r="G134" s="1">
        <v>2</v>
      </c>
      <c r="H134" s="1">
        <v>1045</v>
      </c>
      <c r="I134" s="1" t="s">
        <v>74</v>
      </c>
      <c r="J134" s="1" t="s">
        <v>73</v>
      </c>
      <c r="K134" s="1">
        <f>Table1[[#This Row],[Quantity]]*Table1[[#This Row],[Unit Price]]</f>
        <v>2090</v>
      </c>
    </row>
    <row r="135" spans="1:11" x14ac:dyDescent="0.4">
      <c r="A135" s="1" t="s">
        <v>228</v>
      </c>
      <c r="B135" s="3">
        <v>46178</v>
      </c>
      <c r="C135" s="1" t="s">
        <v>82</v>
      </c>
      <c r="D135" s="1" t="s">
        <v>25</v>
      </c>
      <c r="E135" s="1" t="s">
        <v>83</v>
      </c>
      <c r="F135" s="1" t="s">
        <v>84</v>
      </c>
      <c r="G135" s="1">
        <v>1</v>
      </c>
      <c r="H135" s="1">
        <v>285</v>
      </c>
      <c r="I135" s="1" t="s">
        <v>36</v>
      </c>
      <c r="J135" s="1" t="s">
        <v>73</v>
      </c>
      <c r="K135" s="1">
        <f>Table1[[#This Row],[Quantity]]*Table1[[#This Row],[Unit Price]]</f>
        <v>285</v>
      </c>
    </row>
    <row r="136" spans="1:11" x14ac:dyDescent="0.4">
      <c r="A136" s="1" t="s">
        <v>229</v>
      </c>
      <c r="B136" s="3">
        <v>46252</v>
      </c>
      <c r="C136" s="1" t="s">
        <v>30</v>
      </c>
      <c r="D136" s="1" t="s">
        <v>12</v>
      </c>
      <c r="E136" s="1" t="s">
        <v>16</v>
      </c>
      <c r="F136" s="1" t="s">
        <v>56</v>
      </c>
      <c r="G136" s="1">
        <v>1</v>
      </c>
      <c r="H136" s="1">
        <v>200</v>
      </c>
      <c r="I136" s="1" t="s">
        <v>74</v>
      </c>
      <c r="J136" s="1" t="s">
        <v>73</v>
      </c>
      <c r="K136" s="1">
        <f>Table1[[#This Row],[Quantity]]*Table1[[#This Row],[Unit Price]]</f>
        <v>200</v>
      </c>
    </row>
    <row r="137" spans="1:11" x14ac:dyDescent="0.4">
      <c r="A137" s="1" t="s">
        <v>230</v>
      </c>
      <c r="B137" s="3">
        <v>46177</v>
      </c>
      <c r="C137" s="1" t="s">
        <v>64</v>
      </c>
      <c r="D137" s="1" t="s">
        <v>25</v>
      </c>
      <c r="E137" s="1" t="s">
        <v>83</v>
      </c>
      <c r="F137" s="1" t="s">
        <v>84</v>
      </c>
      <c r="G137" s="1">
        <v>5</v>
      </c>
      <c r="H137" s="1">
        <v>300</v>
      </c>
      <c r="I137" s="1" t="s">
        <v>11</v>
      </c>
      <c r="J137" s="1" t="s">
        <v>33</v>
      </c>
      <c r="K137" s="1">
        <f>Table1[[#This Row],[Quantity]]*Table1[[#This Row],[Unit Price]]</f>
        <v>1500</v>
      </c>
    </row>
    <row r="138" spans="1:11" x14ac:dyDescent="0.4">
      <c r="A138" s="1" t="s">
        <v>231</v>
      </c>
      <c r="B138" s="3">
        <v>46210</v>
      </c>
      <c r="C138" s="1" t="s">
        <v>29</v>
      </c>
      <c r="D138" s="1" t="s">
        <v>21</v>
      </c>
      <c r="E138" s="1" t="s">
        <v>79</v>
      </c>
      <c r="F138" s="1" t="s">
        <v>80</v>
      </c>
      <c r="G138" s="1">
        <v>3</v>
      </c>
      <c r="H138" s="1">
        <v>500</v>
      </c>
      <c r="I138" s="1" t="s">
        <v>36</v>
      </c>
      <c r="J138" s="1" t="s">
        <v>30</v>
      </c>
      <c r="K138" s="1">
        <f>Table1[[#This Row],[Quantity]]*Table1[[#This Row],[Unit Price]]</f>
        <v>1500</v>
      </c>
    </row>
    <row r="139" spans="1:11" x14ac:dyDescent="0.4">
      <c r="A139" s="1" t="s">
        <v>232</v>
      </c>
      <c r="B139" s="3">
        <v>46257</v>
      </c>
      <c r="C139" s="1" t="s">
        <v>160</v>
      </c>
      <c r="D139" s="1" t="s">
        <v>12</v>
      </c>
      <c r="E139" s="1" t="s">
        <v>10</v>
      </c>
      <c r="F139" s="1" t="s">
        <v>20</v>
      </c>
      <c r="G139" s="1">
        <v>6</v>
      </c>
      <c r="H139" s="1">
        <v>315</v>
      </c>
      <c r="I139" s="1" t="s">
        <v>19</v>
      </c>
      <c r="J139" s="1" t="s">
        <v>75</v>
      </c>
      <c r="K139" s="1">
        <f>Table1[[#This Row],[Quantity]]*Table1[[#This Row],[Unit Price]]</f>
        <v>1890</v>
      </c>
    </row>
    <row r="140" spans="1:11" x14ac:dyDescent="0.4">
      <c r="A140" s="1" t="s">
        <v>233</v>
      </c>
      <c r="B140" s="3">
        <v>46203</v>
      </c>
      <c r="C140" s="1" t="s">
        <v>52</v>
      </c>
      <c r="D140" s="1" t="s">
        <v>17</v>
      </c>
      <c r="E140" s="1" t="s">
        <v>23</v>
      </c>
      <c r="F140" s="1" t="s">
        <v>18</v>
      </c>
      <c r="G140" s="1">
        <v>3</v>
      </c>
      <c r="H140" s="1">
        <v>495</v>
      </c>
      <c r="I140" s="1" t="s">
        <v>11</v>
      </c>
      <c r="J140" s="1" t="s">
        <v>73</v>
      </c>
      <c r="K140" s="1">
        <f>Table1[[#This Row],[Quantity]]*Table1[[#This Row],[Unit Price]]</f>
        <v>1485</v>
      </c>
    </row>
    <row r="141" spans="1:11" x14ac:dyDescent="0.4">
      <c r="A141" s="1" t="s">
        <v>234</v>
      </c>
      <c r="B141" s="3">
        <v>46278</v>
      </c>
      <c r="C141" s="1" t="s">
        <v>32</v>
      </c>
      <c r="D141" s="1" t="s">
        <v>22</v>
      </c>
      <c r="E141" s="1" t="s">
        <v>10</v>
      </c>
      <c r="F141" s="1" t="s">
        <v>42</v>
      </c>
      <c r="G141" s="1">
        <v>2</v>
      </c>
      <c r="H141" s="1">
        <v>1890</v>
      </c>
      <c r="I141" s="1" t="s">
        <v>19</v>
      </c>
      <c r="J141" s="1" t="s">
        <v>30</v>
      </c>
      <c r="K141" s="1">
        <f>Table1[[#This Row],[Quantity]]*Table1[[#This Row],[Unit Price]]</f>
        <v>3780</v>
      </c>
    </row>
    <row r="142" spans="1:11" x14ac:dyDescent="0.4">
      <c r="A142" s="1" t="s">
        <v>235</v>
      </c>
      <c r="B142" s="3">
        <v>46188</v>
      </c>
      <c r="C142" s="1" t="s">
        <v>47</v>
      </c>
      <c r="D142" s="1" t="s">
        <v>17</v>
      </c>
      <c r="E142" s="1" t="s">
        <v>79</v>
      </c>
      <c r="F142" s="1" t="s">
        <v>88</v>
      </c>
      <c r="G142" s="1">
        <v>4</v>
      </c>
      <c r="H142" s="1">
        <v>6500</v>
      </c>
      <c r="I142" s="1" t="s">
        <v>36</v>
      </c>
      <c r="J142" s="1" t="s">
        <v>75</v>
      </c>
      <c r="K142" s="1">
        <f>Table1[[#This Row],[Quantity]]*Table1[[#This Row],[Unit Price]]</f>
        <v>26000</v>
      </c>
    </row>
    <row r="143" spans="1:11" x14ac:dyDescent="0.4">
      <c r="A143" s="1" t="s">
        <v>236</v>
      </c>
      <c r="B143" s="3">
        <v>46241</v>
      </c>
      <c r="C143" s="1" t="s">
        <v>157</v>
      </c>
      <c r="D143" s="1" t="s">
        <v>25</v>
      </c>
      <c r="E143" s="1" t="s">
        <v>23</v>
      </c>
      <c r="F143" s="1" t="s">
        <v>62</v>
      </c>
      <c r="G143" s="1">
        <v>5</v>
      </c>
      <c r="H143" s="1">
        <v>700</v>
      </c>
      <c r="I143" s="1" t="s">
        <v>36</v>
      </c>
      <c r="J143" s="1" t="s">
        <v>73</v>
      </c>
      <c r="K143" s="1">
        <f>Table1[[#This Row],[Quantity]]*Table1[[#This Row],[Unit Price]]</f>
        <v>3500</v>
      </c>
    </row>
    <row r="144" spans="1:11" x14ac:dyDescent="0.4">
      <c r="A144" s="1" t="s">
        <v>237</v>
      </c>
      <c r="B144" s="3">
        <v>46199</v>
      </c>
      <c r="C144" s="1" t="s">
        <v>41</v>
      </c>
      <c r="D144" s="1" t="s">
        <v>14</v>
      </c>
      <c r="E144" s="1" t="s">
        <v>10</v>
      </c>
      <c r="F144" s="1" t="s">
        <v>72</v>
      </c>
      <c r="G144" s="1">
        <v>2</v>
      </c>
      <c r="H144" s="1">
        <v>3325</v>
      </c>
      <c r="I144" s="1" t="s">
        <v>74</v>
      </c>
      <c r="J144" s="1" t="s">
        <v>75</v>
      </c>
      <c r="K144" s="1">
        <f>Table1[[#This Row],[Quantity]]*Table1[[#This Row],[Unit Price]]</f>
        <v>6650</v>
      </c>
    </row>
    <row r="145" spans="1:11" x14ac:dyDescent="0.4">
      <c r="A145" s="1" t="s">
        <v>238</v>
      </c>
      <c r="B145" s="3">
        <v>46206</v>
      </c>
      <c r="C145" s="1" t="s">
        <v>52</v>
      </c>
      <c r="D145" s="1" t="s">
        <v>24</v>
      </c>
      <c r="E145" s="1" t="s">
        <v>10</v>
      </c>
      <c r="F145" s="1" t="s">
        <v>68</v>
      </c>
      <c r="G145" s="1">
        <v>4</v>
      </c>
      <c r="H145" s="1">
        <v>2375</v>
      </c>
      <c r="I145" s="1" t="s">
        <v>74</v>
      </c>
      <c r="J145" s="1" t="s">
        <v>37</v>
      </c>
      <c r="K145" s="1">
        <f>Table1[[#This Row],[Quantity]]*Table1[[#This Row],[Unit Price]]</f>
        <v>9500</v>
      </c>
    </row>
    <row r="146" spans="1:11" x14ac:dyDescent="0.4">
      <c r="A146" s="1" t="s">
        <v>239</v>
      </c>
      <c r="B146" s="3">
        <v>46285</v>
      </c>
      <c r="C146" s="1" t="s">
        <v>39</v>
      </c>
      <c r="D146" s="1" t="s">
        <v>14</v>
      </c>
      <c r="E146" s="1" t="s">
        <v>23</v>
      </c>
      <c r="F146" s="1" t="s">
        <v>53</v>
      </c>
      <c r="G146" s="1">
        <v>3</v>
      </c>
      <c r="H146" s="1">
        <v>550</v>
      </c>
      <c r="I146" s="1" t="s">
        <v>74</v>
      </c>
      <c r="J146" s="1" t="s">
        <v>30</v>
      </c>
      <c r="K146" s="1">
        <f>Table1[[#This Row],[Quantity]]*Table1[[#This Row],[Unit Price]]</f>
        <v>1650</v>
      </c>
    </row>
    <row r="147" spans="1:11" x14ac:dyDescent="0.4">
      <c r="A147" s="1" t="s">
        <v>240</v>
      </c>
      <c r="B147" s="3">
        <v>46271</v>
      </c>
      <c r="C147" s="1" t="s">
        <v>190</v>
      </c>
      <c r="D147" s="1" t="s">
        <v>24</v>
      </c>
      <c r="E147" s="1" t="s">
        <v>79</v>
      </c>
      <c r="F147" s="1" t="s">
        <v>88</v>
      </c>
      <c r="G147" s="1">
        <v>6</v>
      </c>
      <c r="H147" s="1">
        <v>6500</v>
      </c>
      <c r="I147" s="1" t="s">
        <v>74</v>
      </c>
      <c r="J147" s="1" t="s">
        <v>73</v>
      </c>
      <c r="K147" s="1">
        <f>Table1[[#This Row],[Quantity]]*Table1[[#This Row],[Unit Price]]</f>
        <v>39000</v>
      </c>
    </row>
    <row r="148" spans="1:11" x14ac:dyDescent="0.4">
      <c r="A148" s="1" t="s">
        <v>241</v>
      </c>
      <c r="B148" s="3">
        <v>46190</v>
      </c>
      <c r="C148" s="1" t="s">
        <v>32</v>
      </c>
      <c r="D148" s="1" t="s">
        <v>12</v>
      </c>
      <c r="E148" s="1" t="s">
        <v>86</v>
      </c>
      <c r="F148" s="1" t="s">
        <v>112</v>
      </c>
      <c r="G148" s="1">
        <v>1</v>
      </c>
      <c r="H148" s="1">
        <v>855</v>
      </c>
      <c r="I148" s="1" t="s">
        <v>74</v>
      </c>
      <c r="J148" s="1" t="s">
        <v>30</v>
      </c>
      <c r="K148" s="1">
        <f>Table1[[#This Row],[Quantity]]*Table1[[#This Row],[Unit Price]]</f>
        <v>855</v>
      </c>
    </row>
    <row r="149" spans="1:11" x14ac:dyDescent="0.4">
      <c r="A149" s="1" t="s">
        <v>242</v>
      </c>
      <c r="B149" s="3">
        <v>46137</v>
      </c>
      <c r="C149" s="1" t="s">
        <v>64</v>
      </c>
      <c r="D149" s="1" t="s">
        <v>25</v>
      </c>
      <c r="E149" s="1" t="s">
        <v>23</v>
      </c>
      <c r="F149" s="1" t="s">
        <v>48</v>
      </c>
      <c r="G149" s="1">
        <v>5</v>
      </c>
      <c r="H149" s="1">
        <v>950</v>
      </c>
      <c r="I149" s="1" t="s">
        <v>36</v>
      </c>
      <c r="J149" s="1" t="s">
        <v>73</v>
      </c>
      <c r="K149" s="1">
        <f>Table1[[#This Row],[Quantity]]*Table1[[#This Row],[Unit Price]]</f>
        <v>4750</v>
      </c>
    </row>
    <row r="150" spans="1:11" x14ac:dyDescent="0.4">
      <c r="A150" s="1" t="s">
        <v>243</v>
      </c>
      <c r="B150" s="3">
        <v>46291</v>
      </c>
      <c r="C150" s="1" t="s">
        <v>82</v>
      </c>
      <c r="D150" s="1" t="s">
        <v>21</v>
      </c>
      <c r="E150" s="1" t="s">
        <v>86</v>
      </c>
      <c r="F150" s="1" t="s">
        <v>112</v>
      </c>
      <c r="G150" s="1">
        <v>3</v>
      </c>
      <c r="H150" s="1">
        <v>900</v>
      </c>
      <c r="I150" s="1" t="s">
        <v>11</v>
      </c>
      <c r="J150" s="1" t="s">
        <v>81</v>
      </c>
      <c r="K150" s="1">
        <f>Table1[[#This Row],[Quantity]]*Table1[[#This Row],[Unit Price]]</f>
        <v>2700</v>
      </c>
    </row>
    <row r="151" spans="1:11" x14ac:dyDescent="0.4">
      <c r="A151" s="1" t="s">
        <v>244</v>
      </c>
      <c r="B151" s="3">
        <v>46270</v>
      </c>
      <c r="C151" s="1" t="s">
        <v>32</v>
      </c>
      <c r="D151" s="1" t="s">
        <v>22</v>
      </c>
      <c r="E151" s="1" t="s">
        <v>86</v>
      </c>
      <c r="F151" s="1" t="s">
        <v>112</v>
      </c>
      <c r="G151" s="1">
        <v>6</v>
      </c>
      <c r="H151" s="1">
        <v>900</v>
      </c>
      <c r="I151" s="1" t="s">
        <v>19</v>
      </c>
      <c r="J151" s="1" t="s">
        <v>81</v>
      </c>
      <c r="K151" s="1">
        <f>Table1[[#This Row],[Quantity]]*Table1[[#This Row],[Unit Price]]</f>
        <v>5400</v>
      </c>
    </row>
    <row r="152" spans="1:11" x14ac:dyDescent="0.4">
      <c r="A152" s="1" t="s">
        <v>245</v>
      </c>
      <c r="B152" s="3">
        <v>46226</v>
      </c>
      <c r="C152" s="1" t="s">
        <v>111</v>
      </c>
      <c r="D152" s="1" t="s">
        <v>22</v>
      </c>
      <c r="E152" s="1" t="s">
        <v>23</v>
      </c>
      <c r="F152" s="1" t="s">
        <v>48</v>
      </c>
      <c r="G152" s="1">
        <v>5</v>
      </c>
      <c r="H152" s="1">
        <v>902.5</v>
      </c>
      <c r="I152" s="1" t="s">
        <v>36</v>
      </c>
      <c r="J152" s="1" t="s">
        <v>30</v>
      </c>
      <c r="K152" s="1">
        <f>Table1[[#This Row],[Quantity]]*Table1[[#This Row],[Unit Price]]</f>
        <v>4512.5</v>
      </c>
    </row>
    <row r="153" spans="1:11" x14ac:dyDescent="0.4">
      <c r="A153" s="1" t="s">
        <v>246</v>
      </c>
      <c r="B153" s="3">
        <v>46214</v>
      </c>
      <c r="C153" s="1" t="s">
        <v>90</v>
      </c>
      <c r="D153" s="1" t="s">
        <v>25</v>
      </c>
      <c r="E153" s="1" t="s">
        <v>23</v>
      </c>
      <c r="F153" s="1" t="s">
        <v>62</v>
      </c>
      <c r="G153" s="1">
        <v>1</v>
      </c>
      <c r="H153" s="1">
        <v>665</v>
      </c>
      <c r="I153" s="1" t="s">
        <v>11</v>
      </c>
      <c r="J153" s="1" t="s">
        <v>73</v>
      </c>
      <c r="K153" s="1">
        <f>Table1[[#This Row],[Quantity]]*Table1[[#This Row],[Unit Price]]</f>
        <v>665</v>
      </c>
    </row>
    <row r="154" spans="1:11" x14ac:dyDescent="0.4">
      <c r="A154" s="1" t="s">
        <v>247</v>
      </c>
      <c r="B154" s="3">
        <v>46167</v>
      </c>
      <c r="C154" s="1" t="s">
        <v>50</v>
      </c>
      <c r="D154" s="1" t="s">
        <v>17</v>
      </c>
      <c r="E154" s="1" t="s">
        <v>10</v>
      </c>
      <c r="F154" s="1" t="s">
        <v>13</v>
      </c>
      <c r="G154" s="1">
        <v>1</v>
      </c>
      <c r="H154" s="1">
        <v>1200</v>
      </c>
      <c r="I154" s="1" t="s">
        <v>19</v>
      </c>
      <c r="J154" s="1" t="s">
        <v>30</v>
      </c>
      <c r="K154" s="1">
        <f>Table1[[#This Row],[Quantity]]*Table1[[#This Row],[Unit Price]]</f>
        <v>1200</v>
      </c>
    </row>
    <row r="155" spans="1:11" x14ac:dyDescent="0.4">
      <c r="A155" s="1" t="s">
        <v>248</v>
      </c>
      <c r="B155" s="3">
        <v>46254</v>
      </c>
      <c r="C155" s="1" t="s">
        <v>58</v>
      </c>
      <c r="D155" s="1" t="s">
        <v>17</v>
      </c>
      <c r="E155" s="1" t="s">
        <v>16</v>
      </c>
      <c r="F155" s="1" t="s">
        <v>77</v>
      </c>
      <c r="G155" s="1">
        <v>3</v>
      </c>
      <c r="H155" s="1">
        <v>250</v>
      </c>
      <c r="I155" s="1" t="s">
        <v>11</v>
      </c>
      <c r="J155" s="1" t="s">
        <v>37</v>
      </c>
      <c r="K155" s="1">
        <f>Table1[[#This Row],[Quantity]]*Table1[[#This Row],[Unit Price]]</f>
        <v>750</v>
      </c>
    </row>
    <row r="156" spans="1:11" x14ac:dyDescent="0.4">
      <c r="A156" s="1" t="s">
        <v>249</v>
      </c>
      <c r="B156" s="3">
        <v>46150</v>
      </c>
      <c r="C156" s="1" t="s">
        <v>39</v>
      </c>
      <c r="D156" s="1" t="s">
        <v>8</v>
      </c>
      <c r="E156" s="1" t="s">
        <v>16</v>
      </c>
      <c r="F156" s="1" t="s">
        <v>15</v>
      </c>
      <c r="G156" s="1">
        <v>3</v>
      </c>
      <c r="H156" s="1">
        <v>120</v>
      </c>
      <c r="I156" s="1" t="s">
        <v>19</v>
      </c>
      <c r="J156" s="1" t="s">
        <v>30</v>
      </c>
      <c r="K156" s="1">
        <f>Table1[[#This Row],[Quantity]]*Table1[[#This Row],[Unit Price]]</f>
        <v>360</v>
      </c>
    </row>
    <row r="157" spans="1:11" x14ac:dyDescent="0.4">
      <c r="A157" s="1" t="s">
        <v>250</v>
      </c>
      <c r="B157" s="3">
        <v>46204</v>
      </c>
      <c r="C157" s="1" t="s">
        <v>44</v>
      </c>
      <c r="D157" s="1" t="s">
        <v>12</v>
      </c>
      <c r="E157" s="1" t="s">
        <v>23</v>
      </c>
      <c r="F157" s="1" t="s">
        <v>48</v>
      </c>
      <c r="G157" s="1">
        <v>3</v>
      </c>
      <c r="H157" s="1">
        <v>902.5</v>
      </c>
      <c r="I157" s="1" t="s">
        <v>11</v>
      </c>
      <c r="J157" s="1" t="s">
        <v>33</v>
      </c>
      <c r="K157" s="1">
        <f>Table1[[#This Row],[Quantity]]*Table1[[#This Row],[Unit Price]]</f>
        <v>2707.5</v>
      </c>
    </row>
    <row r="158" spans="1:11" x14ac:dyDescent="0.4">
      <c r="A158" s="1" t="s">
        <v>251</v>
      </c>
      <c r="B158" s="3">
        <v>46220</v>
      </c>
      <c r="C158" s="1" t="s">
        <v>70</v>
      </c>
      <c r="D158" s="1" t="s">
        <v>22</v>
      </c>
      <c r="E158" s="1" t="s">
        <v>10</v>
      </c>
      <c r="F158" s="1" t="s">
        <v>72</v>
      </c>
      <c r="G158" s="1">
        <v>4</v>
      </c>
      <c r="H158" s="1">
        <v>3675</v>
      </c>
      <c r="I158" s="1" t="s">
        <v>11</v>
      </c>
      <c r="J158" s="1" t="s">
        <v>81</v>
      </c>
      <c r="K158" s="1">
        <f>Table1[[#This Row],[Quantity]]*Table1[[#This Row],[Unit Price]]</f>
        <v>14700</v>
      </c>
    </row>
    <row r="159" spans="1:11" x14ac:dyDescent="0.4">
      <c r="A159" s="1" t="s">
        <v>252</v>
      </c>
      <c r="B159" s="3">
        <v>46241</v>
      </c>
      <c r="C159" s="1" t="s">
        <v>78</v>
      </c>
      <c r="D159" s="1" t="s">
        <v>12</v>
      </c>
      <c r="E159" s="1" t="s">
        <v>23</v>
      </c>
      <c r="F159" s="1" t="s">
        <v>18</v>
      </c>
      <c r="G159" s="1">
        <v>6</v>
      </c>
      <c r="H159" s="1">
        <v>427.5</v>
      </c>
      <c r="I159" s="1" t="s">
        <v>74</v>
      </c>
      <c r="J159" s="1" t="s">
        <v>73</v>
      </c>
      <c r="K159" s="1">
        <f>Table1[[#This Row],[Quantity]]*Table1[[#This Row],[Unit Price]]</f>
        <v>2565</v>
      </c>
    </row>
    <row r="160" spans="1:11" x14ac:dyDescent="0.4">
      <c r="A160" s="1" t="s">
        <v>253</v>
      </c>
      <c r="B160" s="3">
        <v>46120</v>
      </c>
      <c r="C160" s="1" t="s">
        <v>67</v>
      </c>
      <c r="D160" s="1" t="s">
        <v>24</v>
      </c>
      <c r="E160" s="1" t="s">
        <v>10</v>
      </c>
      <c r="F160" s="1" t="s">
        <v>20</v>
      </c>
      <c r="G160" s="1">
        <v>10</v>
      </c>
      <c r="H160" s="1">
        <v>315</v>
      </c>
      <c r="I160" s="1" t="s">
        <v>74</v>
      </c>
      <c r="J160" s="1" t="s">
        <v>73</v>
      </c>
      <c r="K160" s="1">
        <f>Table1[[#This Row],[Quantity]]*Table1[[#This Row],[Unit Price]]</f>
        <v>3150</v>
      </c>
    </row>
    <row r="161" spans="1:11" x14ac:dyDescent="0.4">
      <c r="A161" s="1" t="s">
        <v>254</v>
      </c>
      <c r="B161" s="3">
        <v>46226</v>
      </c>
      <c r="C161" s="1" t="s">
        <v>85</v>
      </c>
      <c r="D161" s="1" t="s">
        <v>17</v>
      </c>
      <c r="E161" s="1" t="s">
        <v>10</v>
      </c>
      <c r="F161" s="1" t="s">
        <v>59</v>
      </c>
      <c r="G161" s="1">
        <v>5</v>
      </c>
      <c r="H161" s="1">
        <v>1400</v>
      </c>
      <c r="I161" s="1" t="s">
        <v>11</v>
      </c>
      <c r="J161" s="1" t="s">
        <v>33</v>
      </c>
      <c r="K161" s="1">
        <f>Table1[[#This Row],[Quantity]]*Table1[[#This Row],[Unit Price]]</f>
        <v>7000</v>
      </c>
    </row>
    <row r="162" spans="1:11" x14ac:dyDescent="0.4">
      <c r="A162" s="1" t="s">
        <v>255</v>
      </c>
      <c r="B162" s="3">
        <v>46183</v>
      </c>
      <c r="C162" s="1" t="s">
        <v>202</v>
      </c>
      <c r="D162" s="1" t="s">
        <v>12</v>
      </c>
      <c r="E162" s="1" t="s">
        <v>79</v>
      </c>
      <c r="F162" s="1" t="s">
        <v>88</v>
      </c>
      <c r="G162" s="1">
        <v>2</v>
      </c>
      <c r="H162" s="1">
        <v>7150</v>
      </c>
      <c r="I162" s="1" t="s">
        <v>74</v>
      </c>
      <c r="J162" s="1" t="s">
        <v>75</v>
      </c>
      <c r="K162" s="1">
        <f>Table1[[#This Row],[Quantity]]*Table1[[#This Row],[Unit Price]]</f>
        <v>14300</v>
      </c>
    </row>
    <row r="163" spans="1:11" x14ac:dyDescent="0.4">
      <c r="A163" s="1" t="s">
        <v>256</v>
      </c>
      <c r="B163" s="3">
        <v>46267</v>
      </c>
      <c r="C163" s="1" t="s">
        <v>90</v>
      </c>
      <c r="D163" s="1" t="s">
        <v>14</v>
      </c>
      <c r="E163" s="1" t="s">
        <v>86</v>
      </c>
      <c r="F163" s="1" t="s">
        <v>93</v>
      </c>
      <c r="G163" s="1">
        <v>1</v>
      </c>
      <c r="H163" s="1">
        <v>1140</v>
      </c>
      <c r="I163" s="1" t="s">
        <v>74</v>
      </c>
      <c r="J163" s="1" t="s">
        <v>81</v>
      </c>
      <c r="K163" s="1">
        <f>Table1[[#This Row],[Quantity]]*Table1[[#This Row],[Unit Price]]</f>
        <v>1140</v>
      </c>
    </row>
    <row r="164" spans="1:11" x14ac:dyDescent="0.4">
      <c r="A164" s="1" t="s">
        <v>257</v>
      </c>
      <c r="B164" s="3">
        <v>46171</v>
      </c>
      <c r="C164" s="1" t="s">
        <v>64</v>
      </c>
      <c r="D164" s="1" t="s">
        <v>21</v>
      </c>
      <c r="E164" s="1" t="s">
        <v>86</v>
      </c>
      <c r="F164" s="1" t="s">
        <v>112</v>
      </c>
      <c r="G164" s="1">
        <v>2</v>
      </c>
      <c r="H164" s="1">
        <v>945</v>
      </c>
      <c r="I164" s="1" t="s">
        <v>11</v>
      </c>
      <c r="J164" s="1" t="s">
        <v>37</v>
      </c>
      <c r="K164" s="1">
        <f>Table1[[#This Row],[Quantity]]*Table1[[#This Row],[Unit Price]]</f>
        <v>1890</v>
      </c>
    </row>
    <row r="165" spans="1:11" x14ac:dyDescent="0.4">
      <c r="A165" s="1" t="s">
        <v>258</v>
      </c>
      <c r="B165" s="3">
        <v>46222</v>
      </c>
      <c r="C165" s="1" t="s">
        <v>41</v>
      </c>
      <c r="D165" s="1" t="s">
        <v>25</v>
      </c>
      <c r="E165" s="1" t="s">
        <v>79</v>
      </c>
      <c r="F165" s="1" t="s">
        <v>88</v>
      </c>
      <c r="G165" s="1">
        <v>3</v>
      </c>
      <c r="H165" s="1">
        <v>6500</v>
      </c>
      <c r="I165" s="1" t="s">
        <v>11</v>
      </c>
      <c r="J165" s="1" t="s">
        <v>30</v>
      </c>
      <c r="K165" s="1">
        <f>Table1[[#This Row],[Quantity]]*Table1[[#This Row],[Unit Price]]</f>
        <v>19500</v>
      </c>
    </row>
    <row r="166" spans="1:11" x14ac:dyDescent="0.4">
      <c r="A166" s="1" t="s">
        <v>259</v>
      </c>
      <c r="B166" s="3">
        <v>46134</v>
      </c>
      <c r="C166" s="1" t="s">
        <v>148</v>
      </c>
      <c r="D166" s="1" t="s">
        <v>17</v>
      </c>
      <c r="E166" s="1" t="s">
        <v>10</v>
      </c>
      <c r="F166" s="1" t="s">
        <v>68</v>
      </c>
      <c r="G166" s="1">
        <v>2</v>
      </c>
      <c r="H166" s="1">
        <v>2500</v>
      </c>
      <c r="I166" s="1" t="s">
        <v>11</v>
      </c>
      <c r="J166" s="1" t="s">
        <v>75</v>
      </c>
      <c r="K166" s="1">
        <f>Table1[[#This Row],[Quantity]]*Table1[[#This Row],[Unit Price]]</f>
        <v>5000</v>
      </c>
    </row>
    <row r="167" spans="1:11" x14ac:dyDescent="0.4">
      <c r="A167" s="1" t="s">
        <v>260</v>
      </c>
      <c r="B167" s="3">
        <v>46256</v>
      </c>
      <c r="C167" s="1" t="s">
        <v>61</v>
      </c>
      <c r="D167" s="1" t="s">
        <v>21</v>
      </c>
      <c r="E167" s="1" t="s">
        <v>79</v>
      </c>
      <c r="F167" s="1" t="s">
        <v>107</v>
      </c>
      <c r="G167" s="1">
        <v>3</v>
      </c>
      <c r="H167" s="1">
        <v>1890</v>
      </c>
      <c r="I167" s="1" t="s">
        <v>11</v>
      </c>
      <c r="J167" s="1" t="s">
        <v>37</v>
      </c>
      <c r="K167" s="1">
        <f>Table1[[#This Row],[Quantity]]*Table1[[#This Row],[Unit Price]]</f>
        <v>5670</v>
      </c>
    </row>
    <row r="168" spans="1:11" x14ac:dyDescent="0.4">
      <c r="A168" s="1" t="s">
        <v>261</v>
      </c>
      <c r="B168" s="3">
        <v>46266</v>
      </c>
      <c r="C168" s="1" t="s">
        <v>202</v>
      </c>
      <c r="D168" s="1" t="s">
        <v>14</v>
      </c>
      <c r="E168" s="1" t="s">
        <v>23</v>
      </c>
      <c r="F168" s="1" t="s">
        <v>98</v>
      </c>
      <c r="G168" s="1">
        <v>2</v>
      </c>
      <c r="H168" s="1">
        <v>660</v>
      </c>
      <c r="I168" s="1" t="s">
        <v>19</v>
      </c>
      <c r="J168" s="1" t="s">
        <v>73</v>
      </c>
      <c r="K168" s="1">
        <f>Table1[[#This Row],[Quantity]]*Table1[[#This Row],[Unit Price]]</f>
        <v>1320</v>
      </c>
    </row>
    <row r="169" spans="1:11" x14ac:dyDescent="0.4">
      <c r="A169" s="1" t="s">
        <v>262</v>
      </c>
      <c r="B169" s="3">
        <v>46236</v>
      </c>
      <c r="C169" s="1" t="s">
        <v>90</v>
      </c>
      <c r="D169" s="1" t="s">
        <v>22</v>
      </c>
      <c r="E169" s="1" t="s">
        <v>23</v>
      </c>
      <c r="F169" s="1" t="s">
        <v>18</v>
      </c>
      <c r="G169" s="1">
        <v>5</v>
      </c>
      <c r="H169" s="1">
        <v>450</v>
      </c>
      <c r="I169" s="1" t="s">
        <v>11</v>
      </c>
      <c r="J169" s="1" t="s">
        <v>37</v>
      </c>
      <c r="K169" s="1">
        <f>Table1[[#This Row],[Quantity]]*Table1[[#This Row],[Unit Price]]</f>
        <v>2250</v>
      </c>
    </row>
    <row r="170" spans="1:11" x14ac:dyDescent="0.4">
      <c r="A170" s="1" t="s">
        <v>263</v>
      </c>
      <c r="B170" s="3">
        <v>46259</v>
      </c>
      <c r="C170" s="1" t="s">
        <v>95</v>
      </c>
      <c r="D170" s="1" t="s">
        <v>8</v>
      </c>
      <c r="E170" s="1" t="s">
        <v>23</v>
      </c>
      <c r="F170" s="1" t="s">
        <v>18</v>
      </c>
      <c r="G170" s="1">
        <v>4</v>
      </c>
      <c r="H170" s="1">
        <v>495</v>
      </c>
      <c r="I170" s="1" t="s">
        <v>36</v>
      </c>
      <c r="J170" s="1" t="s">
        <v>30</v>
      </c>
      <c r="K170" s="1">
        <f>Table1[[#This Row],[Quantity]]*Table1[[#This Row],[Unit Price]]</f>
        <v>1980</v>
      </c>
    </row>
    <row r="171" spans="1:11" x14ac:dyDescent="0.4">
      <c r="A171" s="1" t="s">
        <v>264</v>
      </c>
      <c r="B171" s="3">
        <v>46159</v>
      </c>
      <c r="C171" s="1" t="s">
        <v>157</v>
      </c>
      <c r="D171" s="1" t="s">
        <v>22</v>
      </c>
      <c r="E171" s="1" t="s">
        <v>23</v>
      </c>
      <c r="F171" s="1" t="s">
        <v>62</v>
      </c>
      <c r="G171" s="1">
        <v>4</v>
      </c>
      <c r="H171" s="1">
        <v>700</v>
      </c>
      <c r="I171" s="1" t="s">
        <v>36</v>
      </c>
      <c r="J171" s="1" t="s">
        <v>30</v>
      </c>
      <c r="K171" s="1">
        <f>Table1[[#This Row],[Quantity]]*Table1[[#This Row],[Unit Price]]</f>
        <v>2800</v>
      </c>
    </row>
    <row r="172" spans="1:11" x14ac:dyDescent="0.4">
      <c r="A172" s="1" t="s">
        <v>265</v>
      </c>
      <c r="B172" s="3">
        <v>46159</v>
      </c>
      <c r="C172" s="1" t="s">
        <v>35</v>
      </c>
      <c r="D172" s="1" t="s">
        <v>17</v>
      </c>
      <c r="E172" s="1" t="s">
        <v>16</v>
      </c>
      <c r="F172" s="1" t="s">
        <v>45</v>
      </c>
      <c r="G172" s="1">
        <v>3</v>
      </c>
      <c r="H172" s="1">
        <v>84</v>
      </c>
      <c r="I172" s="1" t="s">
        <v>11</v>
      </c>
      <c r="J172" s="1" t="s">
        <v>30</v>
      </c>
      <c r="K172" s="1">
        <f>Table1[[#This Row],[Quantity]]*Table1[[#This Row],[Unit Price]]</f>
        <v>252</v>
      </c>
    </row>
    <row r="173" spans="1:11" x14ac:dyDescent="0.4">
      <c r="A173" s="1" t="s">
        <v>266</v>
      </c>
      <c r="B173" s="3">
        <v>46248</v>
      </c>
      <c r="C173" s="1" t="s">
        <v>58</v>
      </c>
      <c r="D173" s="1" t="s">
        <v>17</v>
      </c>
      <c r="E173" s="1" t="s">
        <v>16</v>
      </c>
      <c r="F173" s="1" t="s">
        <v>77</v>
      </c>
      <c r="G173" s="1">
        <v>2</v>
      </c>
      <c r="H173" s="1">
        <v>262.5</v>
      </c>
      <c r="I173" s="1" t="s">
        <v>36</v>
      </c>
      <c r="J173" s="1" t="s">
        <v>37</v>
      </c>
      <c r="K173" s="1">
        <f>Table1[[#This Row],[Quantity]]*Table1[[#This Row],[Unit Price]]</f>
        <v>525</v>
      </c>
    </row>
    <row r="174" spans="1:11" x14ac:dyDescent="0.4">
      <c r="A174" s="1" t="s">
        <v>267</v>
      </c>
      <c r="B174" s="3">
        <v>46196</v>
      </c>
      <c r="C174" s="1" t="s">
        <v>44</v>
      </c>
      <c r="D174" s="1" t="s">
        <v>8</v>
      </c>
      <c r="E174" s="1" t="s">
        <v>10</v>
      </c>
      <c r="F174" s="1" t="s">
        <v>68</v>
      </c>
      <c r="G174" s="1">
        <v>5</v>
      </c>
      <c r="H174" s="1">
        <v>2500</v>
      </c>
      <c r="I174" s="1" t="s">
        <v>11</v>
      </c>
      <c r="J174" s="1" t="s">
        <v>37</v>
      </c>
      <c r="K174" s="1">
        <f>Table1[[#This Row],[Quantity]]*Table1[[#This Row],[Unit Price]]</f>
        <v>12500</v>
      </c>
    </row>
    <row r="175" spans="1:11" x14ac:dyDescent="0.4">
      <c r="A175" s="1" t="s">
        <v>268</v>
      </c>
      <c r="B175" s="3">
        <v>46226</v>
      </c>
      <c r="C175" s="1" t="s">
        <v>67</v>
      </c>
      <c r="D175" s="1" t="s">
        <v>12</v>
      </c>
      <c r="E175" s="1" t="s">
        <v>86</v>
      </c>
      <c r="F175" s="1" t="s">
        <v>93</v>
      </c>
      <c r="G175" s="1">
        <v>2</v>
      </c>
      <c r="H175" s="1">
        <v>1260</v>
      </c>
      <c r="I175" s="1" t="s">
        <v>19</v>
      </c>
      <c r="J175" s="1" t="s">
        <v>75</v>
      </c>
      <c r="K175" s="1">
        <f>Table1[[#This Row],[Quantity]]*Table1[[#This Row],[Unit Price]]</f>
        <v>2520</v>
      </c>
    </row>
    <row r="176" spans="1:11" x14ac:dyDescent="0.4">
      <c r="A176" s="1" t="s">
        <v>269</v>
      </c>
      <c r="B176" s="3">
        <v>46142</v>
      </c>
      <c r="C176" s="1" t="s">
        <v>111</v>
      </c>
      <c r="D176" s="1" t="s">
        <v>25</v>
      </c>
      <c r="E176" s="1" t="s">
        <v>79</v>
      </c>
      <c r="F176" s="1" t="s">
        <v>80</v>
      </c>
      <c r="G176" s="1">
        <v>2</v>
      </c>
      <c r="H176" s="1">
        <v>500</v>
      </c>
      <c r="I176" s="1" t="s">
        <v>36</v>
      </c>
      <c r="J176" s="1" t="s">
        <v>30</v>
      </c>
      <c r="K176" s="1">
        <f>Table1[[#This Row],[Quantity]]*Table1[[#This Row],[Unit Price]]</f>
        <v>1000</v>
      </c>
    </row>
    <row r="177" spans="1:11" x14ac:dyDescent="0.4">
      <c r="A177" s="1" t="s">
        <v>270</v>
      </c>
      <c r="B177" s="3">
        <v>46169</v>
      </c>
      <c r="C177" s="1" t="s">
        <v>29</v>
      </c>
      <c r="D177" s="1" t="s">
        <v>14</v>
      </c>
      <c r="E177" s="1" t="s">
        <v>86</v>
      </c>
      <c r="F177" s="1" t="s">
        <v>89</v>
      </c>
      <c r="G177" s="1">
        <v>10</v>
      </c>
      <c r="H177" s="1">
        <v>665</v>
      </c>
      <c r="I177" s="1" t="s">
        <v>36</v>
      </c>
      <c r="J177" s="1" t="s">
        <v>33</v>
      </c>
      <c r="K177" s="1">
        <f>Table1[[#This Row],[Quantity]]*Table1[[#This Row],[Unit Price]]</f>
        <v>6650</v>
      </c>
    </row>
    <row r="178" spans="1:11" x14ac:dyDescent="0.4">
      <c r="A178" s="1" t="s">
        <v>271</v>
      </c>
      <c r="B178" s="3">
        <v>46148</v>
      </c>
      <c r="C178" s="1" t="s">
        <v>29</v>
      </c>
      <c r="D178" s="1" t="s">
        <v>25</v>
      </c>
      <c r="E178" s="1" t="s">
        <v>23</v>
      </c>
      <c r="F178" s="1" t="s">
        <v>53</v>
      </c>
      <c r="G178" s="1">
        <v>2</v>
      </c>
      <c r="H178" s="1">
        <v>522.5</v>
      </c>
      <c r="I178" s="1" t="s">
        <v>74</v>
      </c>
      <c r="J178" s="1" t="s">
        <v>33</v>
      </c>
      <c r="K178" s="1">
        <f>Table1[[#This Row],[Quantity]]*Table1[[#This Row],[Unit Price]]</f>
        <v>1045</v>
      </c>
    </row>
    <row r="179" spans="1:11" x14ac:dyDescent="0.4">
      <c r="A179" s="1" t="s">
        <v>272</v>
      </c>
      <c r="B179" s="3">
        <v>46146</v>
      </c>
      <c r="C179" s="1" t="s">
        <v>202</v>
      </c>
      <c r="D179" s="1" t="s">
        <v>22</v>
      </c>
      <c r="E179" s="1" t="s">
        <v>86</v>
      </c>
      <c r="F179" s="1" t="s">
        <v>87</v>
      </c>
      <c r="G179" s="1">
        <v>3</v>
      </c>
      <c r="H179" s="1">
        <v>1800</v>
      </c>
      <c r="I179" s="1" t="s">
        <v>11</v>
      </c>
      <c r="J179" s="1" t="s">
        <v>81</v>
      </c>
      <c r="K179" s="1">
        <f>Table1[[#This Row],[Quantity]]*Table1[[#This Row],[Unit Price]]</f>
        <v>5400</v>
      </c>
    </row>
    <row r="180" spans="1:11" x14ac:dyDescent="0.4">
      <c r="A180" s="1" t="s">
        <v>273</v>
      </c>
      <c r="B180" s="3">
        <v>46123</v>
      </c>
      <c r="C180" s="1" t="s">
        <v>90</v>
      </c>
      <c r="D180" s="1" t="s">
        <v>22</v>
      </c>
      <c r="E180" s="1" t="s">
        <v>86</v>
      </c>
      <c r="F180" s="1" t="s">
        <v>93</v>
      </c>
      <c r="G180" s="1">
        <v>1</v>
      </c>
      <c r="H180" s="1">
        <v>1140</v>
      </c>
      <c r="I180" s="1" t="s">
        <v>74</v>
      </c>
      <c r="J180" s="1" t="s">
        <v>75</v>
      </c>
      <c r="K180" s="1">
        <f>Table1[[#This Row],[Quantity]]*Table1[[#This Row],[Unit Price]]</f>
        <v>1140</v>
      </c>
    </row>
    <row r="181" spans="1:11" x14ac:dyDescent="0.4">
      <c r="A181" s="1" t="s">
        <v>274</v>
      </c>
      <c r="B181" s="3">
        <v>46216</v>
      </c>
      <c r="C181" s="1" t="s">
        <v>29</v>
      </c>
      <c r="D181" s="1" t="s">
        <v>22</v>
      </c>
      <c r="E181" s="1" t="s">
        <v>86</v>
      </c>
      <c r="F181" s="1" t="s">
        <v>112</v>
      </c>
      <c r="G181" s="1">
        <v>2</v>
      </c>
      <c r="H181" s="1">
        <v>945</v>
      </c>
      <c r="I181" s="1" t="s">
        <v>19</v>
      </c>
      <c r="J181" s="1" t="s">
        <v>75</v>
      </c>
      <c r="K181" s="1">
        <f>Table1[[#This Row],[Quantity]]*Table1[[#This Row],[Unit Price]]</f>
        <v>1890</v>
      </c>
    </row>
    <row r="182" spans="1:11" x14ac:dyDescent="0.4">
      <c r="A182" s="1" t="s">
        <v>275</v>
      </c>
      <c r="B182" s="3">
        <v>46230</v>
      </c>
      <c r="C182" s="1" t="s">
        <v>50</v>
      </c>
      <c r="D182" s="1" t="s">
        <v>21</v>
      </c>
      <c r="E182" s="1" t="s">
        <v>79</v>
      </c>
      <c r="F182" s="1" t="s">
        <v>105</v>
      </c>
      <c r="G182" s="1">
        <v>1</v>
      </c>
      <c r="H182" s="1">
        <v>3990</v>
      </c>
      <c r="I182" s="1" t="s">
        <v>74</v>
      </c>
      <c r="J182" s="1" t="s">
        <v>75</v>
      </c>
      <c r="K182" s="1">
        <f>Table1[[#This Row],[Quantity]]*Table1[[#This Row],[Unit Price]]</f>
        <v>3990</v>
      </c>
    </row>
    <row r="183" spans="1:11" x14ac:dyDescent="0.4">
      <c r="A183" s="1" t="s">
        <v>276</v>
      </c>
      <c r="B183" s="3">
        <v>46133</v>
      </c>
      <c r="C183" s="1" t="s">
        <v>50</v>
      </c>
      <c r="D183" s="1" t="s">
        <v>22</v>
      </c>
      <c r="E183" s="1" t="s">
        <v>86</v>
      </c>
      <c r="F183" s="1" t="s">
        <v>89</v>
      </c>
      <c r="G183" s="1">
        <v>5</v>
      </c>
      <c r="H183" s="1">
        <v>700</v>
      </c>
      <c r="I183" s="1" t="s">
        <v>19</v>
      </c>
      <c r="J183" s="1" t="s">
        <v>30</v>
      </c>
      <c r="K183" s="1">
        <f>Table1[[#This Row],[Quantity]]*Table1[[#This Row],[Unit Price]]</f>
        <v>3500</v>
      </c>
    </row>
    <row r="184" spans="1:11" x14ac:dyDescent="0.4">
      <c r="A184" s="1" t="s">
        <v>277</v>
      </c>
      <c r="B184" s="3">
        <v>46243</v>
      </c>
      <c r="C184" s="1" t="s">
        <v>82</v>
      </c>
      <c r="D184" s="1" t="s">
        <v>22</v>
      </c>
      <c r="E184" s="1" t="s">
        <v>10</v>
      </c>
      <c r="F184" s="1" t="s">
        <v>72</v>
      </c>
      <c r="G184" s="1">
        <v>3</v>
      </c>
      <c r="H184" s="1">
        <v>3500</v>
      </c>
      <c r="I184" s="1" t="s">
        <v>36</v>
      </c>
      <c r="J184" s="1" t="s">
        <v>73</v>
      </c>
      <c r="K184" s="1">
        <f>Table1[[#This Row],[Quantity]]*Table1[[#This Row],[Unit Price]]</f>
        <v>10500</v>
      </c>
    </row>
    <row r="185" spans="1:11" x14ac:dyDescent="0.4">
      <c r="A185" s="1" t="s">
        <v>278</v>
      </c>
      <c r="B185" s="3">
        <v>46278</v>
      </c>
      <c r="C185" s="1" t="s">
        <v>52</v>
      </c>
      <c r="D185" s="1" t="s">
        <v>14</v>
      </c>
      <c r="E185" s="1" t="s">
        <v>16</v>
      </c>
      <c r="F185" s="1" t="s">
        <v>45</v>
      </c>
      <c r="G185" s="1">
        <v>1</v>
      </c>
      <c r="H185" s="1">
        <v>80</v>
      </c>
      <c r="I185" s="1" t="s">
        <v>19</v>
      </c>
      <c r="J185" s="1" t="s">
        <v>75</v>
      </c>
      <c r="K185" s="1">
        <f>Table1[[#This Row],[Quantity]]*Table1[[#This Row],[Unit Price]]</f>
        <v>80</v>
      </c>
    </row>
    <row r="186" spans="1:11" x14ac:dyDescent="0.4">
      <c r="A186" s="1" t="s">
        <v>279</v>
      </c>
      <c r="B186" s="3">
        <v>46152</v>
      </c>
      <c r="C186" s="1" t="s">
        <v>70</v>
      </c>
      <c r="D186" s="1" t="s">
        <v>25</v>
      </c>
      <c r="E186" s="1" t="s">
        <v>10</v>
      </c>
      <c r="F186" s="1" t="s">
        <v>59</v>
      </c>
      <c r="G186" s="1">
        <v>1</v>
      </c>
      <c r="H186" s="1">
        <v>1470</v>
      </c>
      <c r="I186" s="1" t="s">
        <v>36</v>
      </c>
      <c r="J186" s="1" t="s">
        <v>73</v>
      </c>
      <c r="K186" s="1">
        <f>Table1[[#This Row],[Quantity]]*Table1[[#This Row],[Unit Price]]</f>
        <v>1470</v>
      </c>
    </row>
    <row r="187" spans="1:11" x14ac:dyDescent="0.4">
      <c r="A187" s="1" t="s">
        <v>280</v>
      </c>
      <c r="B187" s="3">
        <v>46193</v>
      </c>
      <c r="C187" s="1" t="s">
        <v>70</v>
      </c>
      <c r="D187" s="1" t="s">
        <v>12</v>
      </c>
      <c r="E187" s="1" t="s">
        <v>16</v>
      </c>
      <c r="F187" s="1" t="s">
        <v>45</v>
      </c>
      <c r="G187" s="1">
        <v>2</v>
      </c>
      <c r="H187" s="1">
        <v>84</v>
      </c>
      <c r="I187" s="1" t="s">
        <v>36</v>
      </c>
      <c r="J187" s="1" t="s">
        <v>75</v>
      </c>
      <c r="K187" s="1">
        <f>Table1[[#This Row],[Quantity]]*Table1[[#This Row],[Unit Price]]</f>
        <v>168</v>
      </c>
    </row>
    <row r="188" spans="1:11" x14ac:dyDescent="0.4">
      <c r="A188" s="1" t="s">
        <v>281</v>
      </c>
      <c r="B188" s="3">
        <v>46127</v>
      </c>
      <c r="C188" s="1" t="s">
        <v>70</v>
      </c>
      <c r="D188" s="1" t="s">
        <v>25</v>
      </c>
      <c r="E188" s="1" t="s">
        <v>79</v>
      </c>
      <c r="F188" s="1" t="s">
        <v>80</v>
      </c>
      <c r="G188" s="1">
        <v>2</v>
      </c>
      <c r="H188" s="1">
        <v>500</v>
      </c>
      <c r="I188" s="1" t="s">
        <v>11</v>
      </c>
      <c r="J188" s="1" t="s">
        <v>30</v>
      </c>
      <c r="K188" s="1">
        <f>Table1[[#This Row],[Quantity]]*Table1[[#This Row],[Unit Price]]</f>
        <v>1000</v>
      </c>
    </row>
    <row r="189" spans="1:11" x14ac:dyDescent="0.4">
      <c r="A189" s="1" t="s">
        <v>282</v>
      </c>
      <c r="B189" s="3">
        <v>46207</v>
      </c>
      <c r="C189" s="1" t="s">
        <v>85</v>
      </c>
      <c r="D189" s="1" t="s">
        <v>21</v>
      </c>
      <c r="E189" s="1" t="s">
        <v>23</v>
      </c>
      <c r="F189" s="1" t="s">
        <v>71</v>
      </c>
      <c r="G189" s="1">
        <v>1</v>
      </c>
      <c r="H189" s="1">
        <v>760</v>
      </c>
      <c r="I189" s="1" t="s">
        <v>74</v>
      </c>
      <c r="J189" s="1" t="s">
        <v>75</v>
      </c>
      <c r="K189" s="1">
        <f>Table1[[#This Row],[Quantity]]*Table1[[#This Row],[Unit Price]]</f>
        <v>760</v>
      </c>
    </row>
    <row r="190" spans="1:11" x14ac:dyDescent="0.4">
      <c r="A190" s="1" t="s">
        <v>283</v>
      </c>
      <c r="B190" s="3">
        <v>46254</v>
      </c>
      <c r="C190" s="1" t="s">
        <v>190</v>
      </c>
      <c r="D190" s="1" t="s">
        <v>14</v>
      </c>
      <c r="E190" s="1" t="s">
        <v>10</v>
      </c>
      <c r="F190" s="1" t="s">
        <v>42</v>
      </c>
      <c r="G190" s="1">
        <v>2</v>
      </c>
      <c r="H190" s="1">
        <v>1980</v>
      </c>
      <c r="I190" s="1" t="s">
        <v>36</v>
      </c>
      <c r="J190" s="1" t="s">
        <v>75</v>
      </c>
      <c r="K190" s="1">
        <f>Table1[[#This Row],[Quantity]]*Table1[[#This Row],[Unit Price]]</f>
        <v>3960</v>
      </c>
    </row>
    <row r="191" spans="1:11" x14ac:dyDescent="0.4">
      <c r="A191" s="1" t="s">
        <v>284</v>
      </c>
      <c r="B191" s="3">
        <v>46234</v>
      </c>
      <c r="C191" s="1" t="s">
        <v>39</v>
      </c>
      <c r="D191" s="1" t="s">
        <v>22</v>
      </c>
      <c r="E191" s="1" t="s">
        <v>16</v>
      </c>
      <c r="F191" s="1" t="s">
        <v>45</v>
      </c>
      <c r="G191" s="1">
        <v>8</v>
      </c>
      <c r="H191" s="1">
        <v>84</v>
      </c>
      <c r="I191" s="1" t="s">
        <v>11</v>
      </c>
      <c r="J191" s="1" t="s">
        <v>75</v>
      </c>
      <c r="K191" s="1">
        <f>Table1[[#This Row],[Quantity]]*Table1[[#This Row],[Unit Price]]</f>
        <v>672</v>
      </c>
    </row>
    <row r="192" spans="1:11" x14ac:dyDescent="0.4">
      <c r="A192" s="1" t="s">
        <v>285</v>
      </c>
      <c r="B192" s="3">
        <v>46278</v>
      </c>
      <c r="C192" s="1" t="s">
        <v>70</v>
      </c>
      <c r="D192" s="1" t="s">
        <v>17</v>
      </c>
      <c r="E192" s="1" t="s">
        <v>16</v>
      </c>
      <c r="F192" s="1" t="s">
        <v>65</v>
      </c>
      <c r="G192" s="1">
        <v>1</v>
      </c>
      <c r="H192" s="1">
        <v>157.5</v>
      </c>
      <c r="I192" s="1" t="s">
        <v>36</v>
      </c>
      <c r="J192" s="1" t="s">
        <v>37</v>
      </c>
      <c r="K192" s="1">
        <f>Table1[[#This Row],[Quantity]]*Table1[[#This Row],[Unit Price]]</f>
        <v>157.5</v>
      </c>
    </row>
    <row r="193" spans="1:11" x14ac:dyDescent="0.4">
      <c r="A193" s="1" t="s">
        <v>286</v>
      </c>
      <c r="B193" s="3">
        <v>46185</v>
      </c>
      <c r="C193" s="1" t="s">
        <v>111</v>
      </c>
      <c r="D193" s="1" t="s">
        <v>8</v>
      </c>
      <c r="E193" s="1" t="s">
        <v>86</v>
      </c>
      <c r="F193" s="1" t="s">
        <v>87</v>
      </c>
      <c r="G193" s="1">
        <v>2</v>
      </c>
      <c r="H193" s="1">
        <v>1800</v>
      </c>
      <c r="I193" s="1" t="s">
        <v>36</v>
      </c>
      <c r="J193" s="1" t="s">
        <v>30</v>
      </c>
      <c r="K193" s="1">
        <f>Table1[[#This Row],[Quantity]]*Table1[[#This Row],[Unit Price]]</f>
        <v>3600</v>
      </c>
    </row>
    <row r="194" spans="1:11" x14ac:dyDescent="0.4">
      <c r="A194" s="1" t="s">
        <v>287</v>
      </c>
      <c r="B194" s="3">
        <v>46197</v>
      </c>
      <c r="C194" s="1" t="s">
        <v>55</v>
      </c>
      <c r="D194" s="1" t="s">
        <v>12</v>
      </c>
      <c r="E194" s="1" t="s">
        <v>10</v>
      </c>
      <c r="F194" s="1" t="s">
        <v>115</v>
      </c>
      <c r="G194" s="1">
        <v>3</v>
      </c>
      <c r="H194" s="1">
        <v>2310</v>
      </c>
      <c r="I194" s="1" t="s">
        <v>19</v>
      </c>
      <c r="J194" s="1" t="s">
        <v>37</v>
      </c>
      <c r="K194" s="1">
        <f>Table1[[#This Row],[Quantity]]*Table1[[#This Row],[Unit Price]]</f>
        <v>6930</v>
      </c>
    </row>
    <row r="195" spans="1:11" x14ac:dyDescent="0.4">
      <c r="A195" s="1" t="s">
        <v>288</v>
      </c>
      <c r="B195" s="3">
        <v>46133</v>
      </c>
      <c r="C195" s="1" t="s">
        <v>190</v>
      </c>
      <c r="D195" s="1" t="s">
        <v>21</v>
      </c>
      <c r="E195" s="1" t="s">
        <v>16</v>
      </c>
      <c r="F195" s="1" t="s">
        <v>45</v>
      </c>
      <c r="G195" s="1">
        <v>6</v>
      </c>
      <c r="H195" s="1">
        <v>80</v>
      </c>
      <c r="I195" s="1" t="s">
        <v>19</v>
      </c>
      <c r="J195" s="1" t="s">
        <v>75</v>
      </c>
      <c r="K195" s="1">
        <f>Table1[[#This Row],[Quantity]]*Table1[[#This Row],[Unit Price]]</f>
        <v>480</v>
      </c>
    </row>
    <row r="196" spans="1:11" x14ac:dyDescent="0.4">
      <c r="A196" s="1" t="s">
        <v>289</v>
      </c>
      <c r="B196" s="3">
        <v>46294</v>
      </c>
      <c r="C196" s="1" t="s">
        <v>190</v>
      </c>
      <c r="D196" s="1" t="s">
        <v>22</v>
      </c>
      <c r="E196" s="1" t="s">
        <v>10</v>
      </c>
      <c r="F196" s="1" t="s">
        <v>68</v>
      </c>
      <c r="G196" s="1">
        <v>2</v>
      </c>
      <c r="H196" s="1">
        <v>2625</v>
      </c>
      <c r="I196" s="1" t="s">
        <v>19</v>
      </c>
      <c r="J196" s="1" t="s">
        <v>73</v>
      </c>
      <c r="K196" s="1">
        <f>Table1[[#This Row],[Quantity]]*Table1[[#This Row],[Unit Price]]</f>
        <v>5250</v>
      </c>
    </row>
    <row r="197" spans="1:11" x14ac:dyDescent="0.4">
      <c r="A197" s="1" t="s">
        <v>290</v>
      </c>
      <c r="B197" s="3">
        <v>46292</v>
      </c>
      <c r="C197" s="1" t="s">
        <v>202</v>
      </c>
      <c r="D197" s="1" t="s">
        <v>22</v>
      </c>
      <c r="E197" s="1" t="s">
        <v>10</v>
      </c>
      <c r="F197" s="1" t="s">
        <v>68</v>
      </c>
      <c r="G197" s="1">
        <v>3</v>
      </c>
      <c r="H197" s="1">
        <v>2625</v>
      </c>
      <c r="I197" s="1" t="s">
        <v>11</v>
      </c>
      <c r="J197" s="1" t="s">
        <v>37</v>
      </c>
      <c r="K197" s="1">
        <f>Table1[[#This Row],[Quantity]]*Table1[[#This Row],[Unit Price]]</f>
        <v>7875</v>
      </c>
    </row>
    <row r="198" spans="1:11" x14ac:dyDescent="0.4">
      <c r="A198" s="1" t="s">
        <v>291</v>
      </c>
      <c r="B198" s="3">
        <v>46192</v>
      </c>
      <c r="C198" s="1" t="s">
        <v>95</v>
      </c>
      <c r="D198" s="1" t="s">
        <v>25</v>
      </c>
      <c r="E198" s="1" t="s">
        <v>16</v>
      </c>
      <c r="F198" s="1" t="s">
        <v>65</v>
      </c>
      <c r="G198" s="1">
        <v>8</v>
      </c>
      <c r="H198" s="1">
        <v>150</v>
      </c>
      <c r="I198" s="1" t="s">
        <v>19</v>
      </c>
      <c r="J198" s="1" t="s">
        <v>33</v>
      </c>
      <c r="K198" s="1">
        <f>Table1[[#This Row],[Quantity]]*Table1[[#This Row],[Unit Price]]</f>
        <v>1200</v>
      </c>
    </row>
    <row r="199" spans="1:11" x14ac:dyDescent="0.4">
      <c r="A199" s="1" t="s">
        <v>292</v>
      </c>
      <c r="B199" s="3">
        <v>46148</v>
      </c>
      <c r="C199" s="1" t="s">
        <v>202</v>
      </c>
      <c r="D199" s="1" t="s">
        <v>8</v>
      </c>
      <c r="E199" s="1" t="s">
        <v>16</v>
      </c>
      <c r="F199" s="1" t="s">
        <v>45</v>
      </c>
      <c r="G199" s="1">
        <v>1</v>
      </c>
      <c r="H199" s="1">
        <v>76</v>
      </c>
      <c r="I199" s="1" t="s">
        <v>36</v>
      </c>
      <c r="J199" s="1" t="s">
        <v>75</v>
      </c>
      <c r="K199" s="1">
        <f>Table1[[#This Row],[Quantity]]*Table1[[#This Row],[Unit Price]]</f>
        <v>76</v>
      </c>
    </row>
    <row r="200" spans="1:11" x14ac:dyDescent="0.4">
      <c r="A200" s="1" t="s">
        <v>293</v>
      </c>
      <c r="B200" s="3">
        <v>46146</v>
      </c>
      <c r="C200" s="1" t="s">
        <v>160</v>
      </c>
      <c r="D200" s="1" t="s">
        <v>17</v>
      </c>
      <c r="E200" s="1" t="s">
        <v>86</v>
      </c>
      <c r="F200" s="1" t="s">
        <v>87</v>
      </c>
      <c r="G200" s="1">
        <v>1</v>
      </c>
      <c r="H200" s="1">
        <v>1800</v>
      </c>
      <c r="I200" s="1" t="s">
        <v>74</v>
      </c>
      <c r="J200" s="1" t="s">
        <v>30</v>
      </c>
      <c r="K200" s="1">
        <f>Table1[[#This Row],[Quantity]]*Table1[[#This Row],[Unit Price]]</f>
        <v>1800</v>
      </c>
    </row>
    <row r="201" spans="1:11" x14ac:dyDescent="0.4">
      <c r="A201" s="1" t="s">
        <v>294</v>
      </c>
      <c r="B201" s="3">
        <v>46218</v>
      </c>
      <c r="C201" s="1" t="s">
        <v>70</v>
      </c>
      <c r="D201" s="1" t="s">
        <v>12</v>
      </c>
      <c r="E201" s="1" t="s">
        <v>79</v>
      </c>
      <c r="F201" s="1" t="s">
        <v>105</v>
      </c>
      <c r="G201" s="1">
        <v>3</v>
      </c>
      <c r="H201" s="1">
        <v>4200</v>
      </c>
      <c r="I201" s="1" t="s">
        <v>74</v>
      </c>
      <c r="J201" s="1" t="s">
        <v>33</v>
      </c>
      <c r="K201" s="1">
        <f>Table1[[#This Row],[Quantity]]*Table1[[#This Row],[Unit Price]]</f>
        <v>12600</v>
      </c>
    </row>
    <row r="202" spans="1:11" x14ac:dyDescent="0.4">
      <c r="A202" s="1" t="s">
        <v>295</v>
      </c>
      <c r="B202" s="3">
        <v>46249</v>
      </c>
      <c r="C202" s="1" t="s">
        <v>82</v>
      </c>
      <c r="D202" s="1" t="s">
        <v>14</v>
      </c>
      <c r="E202" s="1" t="s">
        <v>23</v>
      </c>
      <c r="F202" s="1" t="s">
        <v>48</v>
      </c>
      <c r="G202" s="1">
        <v>2</v>
      </c>
      <c r="H202" s="1">
        <v>997.5</v>
      </c>
      <c r="I202" s="1" t="s">
        <v>36</v>
      </c>
      <c r="J202" s="1" t="s">
        <v>73</v>
      </c>
      <c r="K202" s="1">
        <f>Table1[[#This Row],[Quantity]]*Table1[[#This Row],[Unit Price]]</f>
        <v>1995</v>
      </c>
    </row>
    <row r="203" spans="1:11" x14ac:dyDescent="0.4">
      <c r="A203" s="1" t="s">
        <v>296</v>
      </c>
      <c r="B203" s="3">
        <v>46259</v>
      </c>
      <c r="C203" s="1" t="s">
        <v>95</v>
      </c>
      <c r="D203" s="1" t="s">
        <v>21</v>
      </c>
      <c r="E203" s="1" t="s">
        <v>83</v>
      </c>
      <c r="F203" s="1" t="s">
        <v>129</v>
      </c>
      <c r="G203" s="1">
        <v>2</v>
      </c>
      <c r="H203" s="1">
        <v>450</v>
      </c>
      <c r="I203" s="1" t="s">
        <v>74</v>
      </c>
      <c r="J203" s="1" t="s">
        <v>33</v>
      </c>
      <c r="K203" s="1">
        <f>Table1[[#This Row],[Quantity]]*Table1[[#This Row],[Unit Price]]</f>
        <v>900</v>
      </c>
    </row>
    <row r="204" spans="1:11" x14ac:dyDescent="0.4">
      <c r="A204" s="1" t="s">
        <v>297</v>
      </c>
      <c r="B204" s="3">
        <v>46164</v>
      </c>
      <c r="C204" s="1" t="s">
        <v>190</v>
      </c>
      <c r="D204" s="1" t="s">
        <v>25</v>
      </c>
      <c r="E204" s="1" t="s">
        <v>16</v>
      </c>
      <c r="F204" s="1" t="s">
        <v>15</v>
      </c>
      <c r="G204" s="1">
        <v>5</v>
      </c>
      <c r="H204" s="1">
        <v>114</v>
      </c>
      <c r="I204" s="1" t="s">
        <v>36</v>
      </c>
      <c r="J204" s="1" t="s">
        <v>75</v>
      </c>
      <c r="K204" s="1">
        <f>Table1[[#This Row],[Quantity]]*Table1[[#This Row],[Unit Price]]</f>
        <v>570</v>
      </c>
    </row>
    <row r="205" spans="1:11" x14ac:dyDescent="0.4">
      <c r="A205" s="1" t="s">
        <v>298</v>
      </c>
      <c r="B205" s="3">
        <v>46139</v>
      </c>
      <c r="C205" s="1" t="s">
        <v>52</v>
      </c>
      <c r="D205" s="1" t="s">
        <v>25</v>
      </c>
      <c r="E205" s="1" t="s">
        <v>10</v>
      </c>
      <c r="F205" s="1" t="s">
        <v>72</v>
      </c>
      <c r="G205" s="1">
        <v>2</v>
      </c>
      <c r="H205" s="1">
        <v>3500</v>
      </c>
      <c r="I205" s="1" t="s">
        <v>19</v>
      </c>
      <c r="J205" s="1" t="s">
        <v>81</v>
      </c>
      <c r="K205" s="1">
        <f>Table1[[#This Row],[Quantity]]*Table1[[#This Row],[Unit Price]]</f>
        <v>7000</v>
      </c>
    </row>
    <row r="206" spans="1:11" x14ac:dyDescent="0.4">
      <c r="A206" s="1" t="s">
        <v>299</v>
      </c>
      <c r="B206" s="3">
        <v>46136</v>
      </c>
      <c r="C206" s="1" t="s">
        <v>157</v>
      </c>
      <c r="D206" s="1" t="s">
        <v>8</v>
      </c>
      <c r="E206" s="1" t="s">
        <v>23</v>
      </c>
      <c r="F206" s="1" t="s">
        <v>18</v>
      </c>
      <c r="G206" s="1">
        <v>4</v>
      </c>
      <c r="H206" s="1">
        <v>450</v>
      </c>
      <c r="I206" s="1" t="s">
        <v>74</v>
      </c>
      <c r="J206" s="1" t="s">
        <v>30</v>
      </c>
      <c r="K206" s="1">
        <f>Table1[[#This Row],[Quantity]]*Table1[[#This Row],[Unit Price]]</f>
        <v>1800</v>
      </c>
    </row>
    <row r="207" spans="1:11" x14ac:dyDescent="0.4">
      <c r="A207" s="1" t="s">
        <v>300</v>
      </c>
      <c r="B207" s="3">
        <v>46214</v>
      </c>
      <c r="C207" s="1" t="s">
        <v>61</v>
      </c>
      <c r="D207" s="1" t="s">
        <v>14</v>
      </c>
      <c r="E207" s="1" t="s">
        <v>79</v>
      </c>
      <c r="F207" s="1" t="s">
        <v>105</v>
      </c>
      <c r="G207" s="1">
        <v>1</v>
      </c>
      <c r="H207" s="1">
        <v>3990</v>
      </c>
      <c r="I207" s="1" t="s">
        <v>11</v>
      </c>
      <c r="J207" s="1" t="s">
        <v>37</v>
      </c>
      <c r="K207" s="1">
        <f>Table1[[#This Row],[Quantity]]*Table1[[#This Row],[Unit Price]]</f>
        <v>3990</v>
      </c>
    </row>
    <row r="208" spans="1:11" x14ac:dyDescent="0.4">
      <c r="A208" s="1" t="s">
        <v>301</v>
      </c>
      <c r="B208" s="3">
        <v>46138</v>
      </c>
      <c r="C208" s="1" t="s">
        <v>32</v>
      </c>
      <c r="D208" s="1" t="s">
        <v>12</v>
      </c>
      <c r="E208" s="1" t="s">
        <v>79</v>
      </c>
      <c r="F208" s="1" t="s">
        <v>107</v>
      </c>
      <c r="G208" s="1">
        <v>4</v>
      </c>
      <c r="H208" s="1">
        <v>1800</v>
      </c>
      <c r="I208" s="1" t="s">
        <v>74</v>
      </c>
      <c r="J208" s="1" t="s">
        <v>73</v>
      </c>
      <c r="K208" s="1">
        <f>Table1[[#This Row],[Quantity]]*Table1[[#This Row],[Unit Price]]</f>
        <v>7200</v>
      </c>
    </row>
    <row r="209" spans="1:11" x14ac:dyDescent="0.4">
      <c r="A209" s="1" t="s">
        <v>302</v>
      </c>
      <c r="B209" s="3">
        <v>46148</v>
      </c>
      <c r="C209" s="1" t="s">
        <v>82</v>
      </c>
      <c r="D209" s="1" t="s">
        <v>24</v>
      </c>
      <c r="E209" s="1" t="s">
        <v>83</v>
      </c>
      <c r="F209" s="1" t="s">
        <v>122</v>
      </c>
      <c r="G209" s="1">
        <v>2</v>
      </c>
      <c r="H209" s="1">
        <v>807.5</v>
      </c>
      <c r="I209" s="1" t="s">
        <v>11</v>
      </c>
      <c r="J209" s="1" t="s">
        <v>37</v>
      </c>
      <c r="K209" s="1">
        <f>Table1[[#This Row],[Quantity]]*Table1[[#This Row],[Unit Price]]</f>
        <v>1615</v>
      </c>
    </row>
    <row r="210" spans="1:11" x14ac:dyDescent="0.4">
      <c r="A210" s="1" t="s">
        <v>303</v>
      </c>
      <c r="B210" s="3">
        <v>46168</v>
      </c>
      <c r="C210" s="1" t="s">
        <v>202</v>
      </c>
      <c r="D210" s="1" t="s">
        <v>21</v>
      </c>
      <c r="E210" s="1" t="s">
        <v>16</v>
      </c>
      <c r="F210" s="1" t="s">
        <v>45</v>
      </c>
      <c r="G210" s="1">
        <v>3</v>
      </c>
      <c r="H210" s="1">
        <v>88</v>
      </c>
      <c r="I210" s="1" t="s">
        <v>11</v>
      </c>
      <c r="J210" s="1" t="s">
        <v>37</v>
      </c>
      <c r="K210" s="1">
        <f>Table1[[#This Row],[Quantity]]*Table1[[#This Row],[Unit Price]]</f>
        <v>264</v>
      </c>
    </row>
    <row r="211" spans="1:11" x14ac:dyDescent="0.4">
      <c r="A211" s="1" t="s">
        <v>304</v>
      </c>
      <c r="B211" s="3">
        <v>46173</v>
      </c>
      <c r="C211" s="1" t="s">
        <v>67</v>
      </c>
      <c r="D211" s="1" t="s">
        <v>25</v>
      </c>
      <c r="E211" s="1" t="s">
        <v>23</v>
      </c>
      <c r="F211" s="1" t="s">
        <v>98</v>
      </c>
      <c r="G211" s="1">
        <v>1</v>
      </c>
      <c r="H211" s="1">
        <v>600</v>
      </c>
      <c r="I211" s="1" t="s">
        <v>11</v>
      </c>
      <c r="J211" s="1" t="s">
        <v>30</v>
      </c>
      <c r="K211" s="1">
        <f>Table1[[#This Row],[Quantity]]*Table1[[#This Row],[Unit Price]]</f>
        <v>600</v>
      </c>
    </row>
    <row r="212" spans="1:11" x14ac:dyDescent="0.4">
      <c r="A212" s="1" t="s">
        <v>305</v>
      </c>
      <c r="B212" s="3">
        <v>46240</v>
      </c>
      <c r="C212" s="1" t="s">
        <v>50</v>
      </c>
      <c r="D212" s="1" t="s">
        <v>17</v>
      </c>
      <c r="E212" s="1" t="s">
        <v>10</v>
      </c>
      <c r="F212" s="1" t="s">
        <v>13</v>
      </c>
      <c r="G212" s="1">
        <v>3</v>
      </c>
      <c r="H212" s="1">
        <v>1320</v>
      </c>
      <c r="I212" s="1" t="s">
        <v>36</v>
      </c>
      <c r="J212" s="1" t="s">
        <v>81</v>
      </c>
      <c r="K212" s="1">
        <f>Table1[[#This Row],[Quantity]]*Table1[[#This Row],[Unit Price]]</f>
        <v>3960</v>
      </c>
    </row>
    <row r="213" spans="1:11" x14ac:dyDescent="0.4">
      <c r="A213" s="1" t="s">
        <v>306</v>
      </c>
      <c r="B213" s="3">
        <v>46113</v>
      </c>
      <c r="C213" s="1" t="s">
        <v>44</v>
      </c>
      <c r="D213" s="1" t="s">
        <v>24</v>
      </c>
      <c r="E213" s="1" t="s">
        <v>79</v>
      </c>
      <c r="F213" s="1" t="s">
        <v>80</v>
      </c>
      <c r="G213" s="1">
        <v>1</v>
      </c>
      <c r="H213" s="1">
        <v>525</v>
      </c>
      <c r="I213" s="1" t="s">
        <v>36</v>
      </c>
      <c r="J213" s="1" t="s">
        <v>30</v>
      </c>
      <c r="K213" s="1">
        <f>Table1[[#This Row],[Quantity]]*Table1[[#This Row],[Unit Price]]</f>
        <v>525</v>
      </c>
    </row>
    <row r="214" spans="1:11" x14ac:dyDescent="0.4">
      <c r="A214" s="1" t="s">
        <v>307</v>
      </c>
      <c r="B214" s="3">
        <v>46247</v>
      </c>
      <c r="C214" s="1" t="s">
        <v>32</v>
      </c>
      <c r="D214" s="1" t="s">
        <v>21</v>
      </c>
      <c r="E214" s="1" t="s">
        <v>10</v>
      </c>
      <c r="F214" s="1" t="s">
        <v>13</v>
      </c>
      <c r="G214" s="1">
        <v>2</v>
      </c>
      <c r="H214" s="1">
        <v>1260</v>
      </c>
      <c r="I214" s="1" t="s">
        <v>36</v>
      </c>
      <c r="J214" s="1" t="s">
        <v>37</v>
      </c>
      <c r="K214" s="1">
        <f>Table1[[#This Row],[Quantity]]*Table1[[#This Row],[Unit Price]]</f>
        <v>2520</v>
      </c>
    </row>
    <row r="215" spans="1:11" x14ac:dyDescent="0.4">
      <c r="A215" s="1" t="s">
        <v>308</v>
      </c>
      <c r="B215" s="3">
        <v>46117</v>
      </c>
      <c r="C215" s="1" t="s">
        <v>50</v>
      </c>
      <c r="D215" s="1" t="s">
        <v>24</v>
      </c>
      <c r="E215" s="1" t="s">
        <v>79</v>
      </c>
      <c r="F215" s="1" t="s">
        <v>80</v>
      </c>
      <c r="G215" s="1">
        <v>4</v>
      </c>
      <c r="H215" s="1">
        <v>500</v>
      </c>
      <c r="I215" s="1" t="s">
        <v>36</v>
      </c>
      <c r="J215" s="1" t="s">
        <v>33</v>
      </c>
      <c r="K215" s="1">
        <f>Table1[[#This Row],[Quantity]]*Table1[[#This Row],[Unit Price]]</f>
        <v>2000</v>
      </c>
    </row>
    <row r="216" spans="1:11" x14ac:dyDescent="0.4">
      <c r="A216" s="1" t="s">
        <v>309</v>
      </c>
      <c r="B216" s="3">
        <v>46124</v>
      </c>
      <c r="C216" s="1" t="s">
        <v>160</v>
      </c>
      <c r="D216" s="1" t="s">
        <v>25</v>
      </c>
      <c r="E216" s="1" t="s">
        <v>79</v>
      </c>
      <c r="F216" s="1" t="s">
        <v>80</v>
      </c>
      <c r="G216" s="1">
        <v>3</v>
      </c>
      <c r="H216" s="1">
        <v>500</v>
      </c>
      <c r="I216" s="1" t="s">
        <v>74</v>
      </c>
      <c r="J216" s="1" t="s">
        <v>73</v>
      </c>
      <c r="K216" s="1">
        <f>Table1[[#This Row],[Quantity]]*Table1[[#This Row],[Unit Price]]</f>
        <v>1500</v>
      </c>
    </row>
    <row r="217" spans="1:11" x14ac:dyDescent="0.4">
      <c r="A217" s="1" t="s">
        <v>310</v>
      </c>
      <c r="B217" s="3">
        <v>46159</v>
      </c>
      <c r="C217" s="1" t="s">
        <v>32</v>
      </c>
      <c r="D217" s="1" t="s">
        <v>12</v>
      </c>
      <c r="E217" s="1" t="s">
        <v>16</v>
      </c>
      <c r="F217" s="1" t="s">
        <v>15</v>
      </c>
      <c r="G217" s="1">
        <v>1</v>
      </c>
      <c r="H217" s="1">
        <v>126</v>
      </c>
      <c r="I217" s="1" t="s">
        <v>19</v>
      </c>
      <c r="J217" s="1" t="s">
        <v>30</v>
      </c>
      <c r="K217" s="1">
        <f>Table1[[#This Row],[Quantity]]*Table1[[#This Row],[Unit Price]]</f>
        <v>126</v>
      </c>
    </row>
    <row r="218" spans="1:11" x14ac:dyDescent="0.4">
      <c r="A218" s="1" t="s">
        <v>311</v>
      </c>
      <c r="B218" s="3">
        <v>46164</v>
      </c>
      <c r="C218" s="1" t="s">
        <v>202</v>
      </c>
      <c r="D218" s="1" t="s">
        <v>21</v>
      </c>
      <c r="E218" s="1" t="s">
        <v>10</v>
      </c>
      <c r="F218" s="1" t="s">
        <v>42</v>
      </c>
      <c r="G218" s="1">
        <v>2</v>
      </c>
      <c r="H218" s="1">
        <v>1800</v>
      </c>
      <c r="I218" s="1" t="s">
        <v>74</v>
      </c>
      <c r="J218" s="1" t="s">
        <v>37</v>
      </c>
      <c r="K218" s="1">
        <f>Table1[[#This Row],[Quantity]]*Table1[[#This Row],[Unit Price]]</f>
        <v>3600</v>
      </c>
    </row>
    <row r="219" spans="1:11" x14ac:dyDescent="0.4">
      <c r="A219" s="1" t="s">
        <v>312</v>
      </c>
      <c r="B219" s="3">
        <v>46122</v>
      </c>
      <c r="C219" s="1" t="s">
        <v>90</v>
      </c>
      <c r="D219" s="1" t="s">
        <v>22</v>
      </c>
      <c r="E219" s="1" t="s">
        <v>16</v>
      </c>
      <c r="F219" s="1" t="s">
        <v>154</v>
      </c>
      <c r="G219" s="1">
        <v>2</v>
      </c>
      <c r="H219" s="1">
        <v>85.5</v>
      </c>
      <c r="I219" s="1" t="s">
        <v>36</v>
      </c>
      <c r="J219" s="1" t="s">
        <v>30</v>
      </c>
      <c r="K219" s="1">
        <f>Table1[[#This Row],[Quantity]]*Table1[[#This Row],[Unit Price]]</f>
        <v>171</v>
      </c>
    </row>
    <row r="220" spans="1:11" x14ac:dyDescent="0.4">
      <c r="A220" s="1" t="s">
        <v>313</v>
      </c>
      <c r="B220" s="3">
        <v>46207</v>
      </c>
      <c r="C220" s="1" t="s">
        <v>82</v>
      </c>
      <c r="D220" s="1" t="s">
        <v>21</v>
      </c>
      <c r="E220" s="1" t="s">
        <v>86</v>
      </c>
      <c r="F220" s="1" t="s">
        <v>93</v>
      </c>
      <c r="G220" s="1">
        <v>5</v>
      </c>
      <c r="H220" s="1">
        <v>1260</v>
      </c>
      <c r="I220" s="1" t="s">
        <v>36</v>
      </c>
      <c r="J220" s="1" t="s">
        <v>33</v>
      </c>
      <c r="K220" s="1">
        <f>Table1[[#This Row],[Quantity]]*Table1[[#This Row],[Unit Price]]</f>
        <v>6300</v>
      </c>
    </row>
    <row r="221" spans="1:11" x14ac:dyDescent="0.4">
      <c r="A221" s="1" t="s">
        <v>314</v>
      </c>
      <c r="B221" s="3">
        <v>46240</v>
      </c>
      <c r="C221" s="1" t="s">
        <v>52</v>
      </c>
      <c r="D221" s="1" t="s">
        <v>24</v>
      </c>
      <c r="E221" s="1" t="s">
        <v>83</v>
      </c>
      <c r="F221" s="1" t="s">
        <v>91</v>
      </c>
      <c r="G221" s="1">
        <v>2</v>
      </c>
      <c r="H221" s="1">
        <v>275</v>
      </c>
      <c r="I221" s="1" t="s">
        <v>74</v>
      </c>
      <c r="J221" s="1" t="s">
        <v>30</v>
      </c>
      <c r="K221" s="1">
        <f>Table1[[#This Row],[Quantity]]*Table1[[#This Row],[Unit Price]]</f>
        <v>550</v>
      </c>
    </row>
    <row r="222" spans="1:11" x14ac:dyDescent="0.4">
      <c r="A222" s="1" t="s">
        <v>315</v>
      </c>
      <c r="B222" s="3">
        <v>46223</v>
      </c>
      <c r="C222" s="1" t="s">
        <v>39</v>
      </c>
      <c r="D222" s="1" t="s">
        <v>24</v>
      </c>
      <c r="E222" s="1" t="s">
        <v>16</v>
      </c>
      <c r="F222" s="1" t="s">
        <v>65</v>
      </c>
      <c r="G222" s="1">
        <v>3</v>
      </c>
      <c r="H222" s="1">
        <v>150</v>
      </c>
      <c r="I222" s="1" t="s">
        <v>36</v>
      </c>
      <c r="J222" s="1" t="s">
        <v>73</v>
      </c>
      <c r="K222" s="1">
        <f>Table1[[#This Row],[Quantity]]*Table1[[#This Row],[Unit Price]]</f>
        <v>450</v>
      </c>
    </row>
    <row r="223" spans="1:11" x14ac:dyDescent="0.4">
      <c r="A223" s="1" t="s">
        <v>316</v>
      </c>
      <c r="B223" s="3">
        <v>46188</v>
      </c>
      <c r="C223" s="1" t="s">
        <v>44</v>
      </c>
      <c r="D223" s="1" t="s">
        <v>25</v>
      </c>
      <c r="E223" s="1" t="s">
        <v>23</v>
      </c>
      <c r="F223" s="1" t="s">
        <v>98</v>
      </c>
      <c r="G223" s="1">
        <v>2</v>
      </c>
      <c r="H223" s="1">
        <v>630</v>
      </c>
      <c r="I223" s="1" t="s">
        <v>36</v>
      </c>
      <c r="J223" s="1" t="s">
        <v>81</v>
      </c>
      <c r="K223" s="1">
        <f>Table1[[#This Row],[Quantity]]*Table1[[#This Row],[Unit Price]]</f>
        <v>1260</v>
      </c>
    </row>
    <row r="224" spans="1:11" x14ac:dyDescent="0.4">
      <c r="A224" s="1" t="s">
        <v>317</v>
      </c>
      <c r="B224" s="3">
        <v>46123</v>
      </c>
      <c r="C224" s="1" t="s">
        <v>52</v>
      </c>
      <c r="D224" s="1" t="s">
        <v>8</v>
      </c>
      <c r="E224" s="1" t="s">
        <v>79</v>
      </c>
      <c r="F224" s="1" t="s">
        <v>80</v>
      </c>
      <c r="G224" s="1">
        <v>3</v>
      </c>
      <c r="H224" s="1">
        <v>525</v>
      </c>
      <c r="I224" s="1" t="s">
        <v>11</v>
      </c>
      <c r="J224" s="1" t="s">
        <v>73</v>
      </c>
      <c r="K224" s="1">
        <f>Table1[[#This Row],[Quantity]]*Table1[[#This Row],[Unit Price]]</f>
        <v>1575</v>
      </c>
    </row>
    <row r="225" spans="1:11" x14ac:dyDescent="0.4">
      <c r="A225" s="1" t="s">
        <v>318</v>
      </c>
      <c r="B225" s="3">
        <v>46276</v>
      </c>
      <c r="C225" s="1" t="s">
        <v>29</v>
      </c>
      <c r="D225" s="1" t="s">
        <v>17</v>
      </c>
      <c r="E225" s="1" t="s">
        <v>86</v>
      </c>
      <c r="F225" s="1" t="s">
        <v>89</v>
      </c>
      <c r="G225" s="1">
        <v>2</v>
      </c>
      <c r="H225" s="1">
        <v>700</v>
      </c>
      <c r="I225" s="1" t="s">
        <v>74</v>
      </c>
      <c r="J225" s="1" t="s">
        <v>30</v>
      </c>
      <c r="K225" s="1">
        <f>Table1[[#This Row],[Quantity]]*Table1[[#This Row],[Unit Price]]</f>
        <v>1400</v>
      </c>
    </row>
    <row r="226" spans="1:11" x14ac:dyDescent="0.4">
      <c r="A226" s="1" t="s">
        <v>319</v>
      </c>
      <c r="B226" s="3">
        <v>46145</v>
      </c>
      <c r="C226" s="1" t="s">
        <v>61</v>
      </c>
      <c r="D226" s="1" t="s">
        <v>21</v>
      </c>
      <c r="E226" s="1" t="s">
        <v>10</v>
      </c>
      <c r="F226" s="1" t="s">
        <v>59</v>
      </c>
      <c r="G226" s="1">
        <v>1</v>
      </c>
      <c r="H226" s="1">
        <v>1400</v>
      </c>
      <c r="I226" s="1" t="s">
        <v>11</v>
      </c>
      <c r="J226" s="1" t="s">
        <v>75</v>
      </c>
      <c r="K226" s="1">
        <f>Table1[[#This Row],[Quantity]]*Table1[[#This Row],[Unit Price]]</f>
        <v>1400</v>
      </c>
    </row>
    <row r="227" spans="1:11" x14ac:dyDescent="0.4">
      <c r="A227" s="1" t="s">
        <v>320</v>
      </c>
      <c r="B227" s="3">
        <v>46152</v>
      </c>
      <c r="C227" s="1" t="s">
        <v>70</v>
      </c>
      <c r="D227" s="1" t="s">
        <v>24</v>
      </c>
      <c r="E227" s="1" t="s">
        <v>83</v>
      </c>
      <c r="F227" s="1" t="s">
        <v>129</v>
      </c>
      <c r="G227" s="1">
        <v>6</v>
      </c>
      <c r="H227" s="1">
        <v>450</v>
      </c>
      <c r="I227" s="1" t="s">
        <v>19</v>
      </c>
      <c r="J227" s="1" t="s">
        <v>75</v>
      </c>
      <c r="K227" s="1">
        <f>Table1[[#This Row],[Quantity]]*Table1[[#This Row],[Unit Price]]</f>
        <v>2700</v>
      </c>
    </row>
    <row r="228" spans="1:11" x14ac:dyDescent="0.4">
      <c r="A228" s="1" t="s">
        <v>321</v>
      </c>
      <c r="B228" s="3">
        <v>46206</v>
      </c>
      <c r="C228" s="1" t="s">
        <v>50</v>
      </c>
      <c r="D228" s="1" t="s">
        <v>24</v>
      </c>
      <c r="E228" s="1" t="s">
        <v>86</v>
      </c>
      <c r="F228" s="1" t="s">
        <v>89</v>
      </c>
      <c r="G228" s="1">
        <v>2</v>
      </c>
      <c r="H228" s="1">
        <v>700</v>
      </c>
      <c r="I228" s="1" t="s">
        <v>11</v>
      </c>
      <c r="J228" s="1" t="s">
        <v>73</v>
      </c>
      <c r="K228" s="1">
        <f>Table1[[#This Row],[Quantity]]*Table1[[#This Row],[Unit Price]]</f>
        <v>1400</v>
      </c>
    </row>
    <row r="229" spans="1:11" x14ac:dyDescent="0.4">
      <c r="A229" s="1" t="s">
        <v>322</v>
      </c>
      <c r="B229" s="3">
        <v>46160</v>
      </c>
      <c r="C229" s="1" t="s">
        <v>39</v>
      </c>
      <c r="D229" s="1" t="s">
        <v>12</v>
      </c>
      <c r="E229" s="1" t="s">
        <v>83</v>
      </c>
      <c r="F229" s="1" t="s">
        <v>91</v>
      </c>
      <c r="G229" s="1">
        <v>2</v>
      </c>
      <c r="H229" s="1">
        <v>275</v>
      </c>
      <c r="I229" s="1" t="s">
        <v>36</v>
      </c>
      <c r="J229" s="1" t="s">
        <v>73</v>
      </c>
      <c r="K229" s="1">
        <f>Table1[[#This Row],[Quantity]]*Table1[[#This Row],[Unit Price]]</f>
        <v>550</v>
      </c>
    </row>
    <row r="230" spans="1:11" x14ac:dyDescent="0.4">
      <c r="A230" s="1" t="s">
        <v>323</v>
      </c>
      <c r="B230" s="3">
        <v>46227</v>
      </c>
      <c r="C230" s="1" t="s">
        <v>76</v>
      </c>
      <c r="D230" s="1" t="s">
        <v>25</v>
      </c>
      <c r="E230" s="1" t="s">
        <v>16</v>
      </c>
      <c r="F230" s="1" t="s">
        <v>77</v>
      </c>
      <c r="G230" s="1">
        <v>10</v>
      </c>
      <c r="H230" s="1">
        <v>250</v>
      </c>
      <c r="I230" s="1" t="s">
        <v>19</v>
      </c>
      <c r="J230" s="1" t="s">
        <v>30</v>
      </c>
      <c r="K230" s="1">
        <f>Table1[[#This Row],[Quantity]]*Table1[[#This Row],[Unit Price]]</f>
        <v>2500</v>
      </c>
    </row>
    <row r="231" spans="1:11" x14ac:dyDescent="0.4">
      <c r="A231" s="1" t="s">
        <v>324</v>
      </c>
      <c r="B231" s="3">
        <v>46147</v>
      </c>
      <c r="C231" s="1" t="s">
        <v>35</v>
      </c>
      <c r="D231" s="1" t="s">
        <v>22</v>
      </c>
      <c r="E231" s="1" t="s">
        <v>10</v>
      </c>
      <c r="F231" s="1" t="s">
        <v>59</v>
      </c>
      <c r="G231" s="1">
        <v>2</v>
      </c>
      <c r="H231" s="1">
        <v>1470</v>
      </c>
      <c r="I231" s="1" t="s">
        <v>36</v>
      </c>
      <c r="J231" s="1" t="s">
        <v>73</v>
      </c>
      <c r="K231" s="1">
        <f>Table1[[#This Row],[Quantity]]*Table1[[#This Row],[Unit Price]]</f>
        <v>2940</v>
      </c>
    </row>
    <row r="232" spans="1:11" x14ac:dyDescent="0.4">
      <c r="A232" s="1" t="s">
        <v>325</v>
      </c>
      <c r="B232" s="3">
        <v>46129</v>
      </c>
      <c r="C232" s="1" t="s">
        <v>76</v>
      </c>
      <c r="D232" s="1" t="s">
        <v>17</v>
      </c>
      <c r="E232" s="1" t="s">
        <v>23</v>
      </c>
      <c r="F232" s="1" t="s">
        <v>71</v>
      </c>
      <c r="G232" s="1">
        <v>5</v>
      </c>
      <c r="H232" s="1">
        <v>800</v>
      </c>
      <c r="I232" s="1" t="s">
        <v>36</v>
      </c>
      <c r="J232" s="1" t="s">
        <v>75</v>
      </c>
      <c r="K232" s="1">
        <f>Table1[[#This Row],[Quantity]]*Table1[[#This Row],[Unit Price]]</f>
        <v>4000</v>
      </c>
    </row>
    <row r="233" spans="1:11" x14ac:dyDescent="0.4">
      <c r="A233" s="1" t="s">
        <v>326</v>
      </c>
      <c r="B233" s="3">
        <v>46170</v>
      </c>
      <c r="C233" s="1" t="s">
        <v>50</v>
      </c>
      <c r="D233" s="1" t="s">
        <v>25</v>
      </c>
      <c r="E233" s="1" t="s">
        <v>10</v>
      </c>
      <c r="F233" s="1" t="s">
        <v>72</v>
      </c>
      <c r="G233" s="1">
        <v>10</v>
      </c>
      <c r="H233" s="1">
        <v>3500</v>
      </c>
      <c r="I233" s="1" t="s">
        <v>11</v>
      </c>
      <c r="J233" s="1" t="s">
        <v>37</v>
      </c>
      <c r="K233" s="1">
        <f>Table1[[#This Row],[Quantity]]*Table1[[#This Row],[Unit Price]]</f>
        <v>35000</v>
      </c>
    </row>
    <row r="234" spans="1:11" x14ac:dyDescent="0.4">
      <c r="A234" s="1" t="s">
        <v>327</v>
      </c>
      <c r="B234" s="3">
        <v>46254</v>
      </c>
      <c r="C234" s="1" t="s">
        <v>41</v>
      </c>
      <c r="D234" s="1" t="s">
        <v>24</v>
      </c>
      <c r="E234" s="1" t="s">
        <v>79</v>
      </c>
      <c r="F234" s="1" t="s">
        <v>105</v>
      </c>
      <c r="G234" s="1">
        <v>2</v>
      </c>
      <c r="H234" s="1">
        <v>4620</v>
      </c>
      <c r="I234" s="1" t="s">
        <v>11</v>
      </c>
      <c r="J234" s="1" t="s">
        <v>37</v>
      </c>
      <c r="K234" s="1">
        <f>Table1[[#This Row],[Quantity]]*Table1[[#This Row],[Unit Price]]</f>
        <v>9240</v>
      </c>
    </row>
    <row r="235" spans="1:11" x14ac:dyDescent="0.4">
      <c r="A235" s="1" t="s">
        <v>328</v>
      </c>
      <c r="B235" s="3">
        <v>46214</v>
      </c>
      <c r="C235" s="1" t="s">
        <v>160</v>
      </c>
      <c r="D235" s="1" t="s">
        <v>24</v>
      </c>
      <c r="E235" s="1" t="s">
        <v>83</v>
      </c>
      <c r="F235" s="1" t="s">
        <v>122</v>
      </c>
      <c r="G235" s="1">
        <v>3</v>
      </c>
      <c r="H235" s="1">
        <v>892.5</v>
      </c>
      <c r="I235" s="1" t="s">
        <v>19</v>
      </c>
      <c r="J235" s="1" t="s">
        <v>37</v>
      </c>
      <c r="K235" s="1">
        <f>Table1[[#This Row],[Quantity]]*Table1[[#This Row],[Unit Price]]</f>
        <v>2677.5</v>
      </c>
    </row>
    <row r="236" spans="1:11" x14ac:dyDescent="0.4">
      <c r="A236" s="1" t="s">
        <v>329</v>
      </c>
      <c r="B236" s="3">
        <v>46277</v>
      </c>
      <c r="C236" s="1" t="s">
        <v>61</v>
      </c>
      <c r="D236" s="1" t="s">
        <v>17</v>
      </c>
      <c r="E236" s="1" t="s">
        <v>10</v>
      </c>
      <c r="F236" s="1" t="s">
        <v>59</v>
      </c>
      <c r="G236" s="1">
        <v>2</v>
      </c>
      <c r="H236" s="1">
        <v>1540</v>
      </c>
      <c r="I236" s="1" t="s">
        <v>19</v>
      </c>
      <c r="J236" s="1" t="s">
        <v>33</v>
      </c>
      <c r="K236" s="1">
        <f>Table1[[#This Row],[Quantity]]*Table1[[#This Row],[Unit Price]]</f>
        <v>3080</v>
      </c>
    </row>
    <row r="237" spans="1:11" x14ac:dyDescent="0.4">
      <c r="A237" s="1" t="s">
        <v>330</v>
      </c>
      <c r="B237" s="3">
        <v>46223</v>
      </c>
      <c r="C237" s="1" t="s">
        <v>41</v>
      </c>
      <c r="D237" s="1" t="s">
        <v>12</v>
      </c>
      <c r="E237" s="1" t="s">
        <v>10</v>
      </c>
      <c r="F237" s="1" t="s">
        <v>20</v>
      </c>
      <c r="G237" s="1">
        <v>5</v>
      </c>
      <c r="H237" s="1">
        <v>330</v>
      </c>
      <c r="I237" s="1" t="s">
        <v>19</v>
      </c>
      <c r="J237" s="1" t="s">
        <v>33</v>
      </c>
      <c r="K237" s="1">
        <f>Table1[[#This Row],[Quantity]]*Table1[[#This Row],[Unit Price]]</f>
        <v>1650</v>
      </c>
    </row>
    <row r="238" spans="1:11" x14ac:dyDescent="0.4">
      <c r="A238" s="1" t="s">
        <v>331</v>
      </c>
      <c r="B238" s="3">
        <v>46195</v>
      </c>
      <c r="C238" s="1" t="s">
        <v>82</v>
      </c>
      <c r="D238" s="1" t="s">
        <v>12</v>
      </c>
      <c r="E238" s="1" t="s">
        <v>23</v>
      </c>
      <c r="F238" s="1" t="s">
        <v>18</v>
      </c>
      <c r="G238" s="1">
        <v>2</v>
      </c>
      <c r="H238" s="1">
        <v>495</v>
      </c>
      <c r="I238" s="1" t="s">
        <v>11</v>
      </c>
      <c r="J238" s="1" t="s">
        <v>37</v>
      </c>
      <c r="K238" s="1">
        <f>Table1[[#This Row],[Quantity]]*Table1[[#This Row],[Unit Price]]</f>
        <v>990</v>
      </c>
    </row>
    <row r="239" spans="1:11" x14ac:dyDescent="0.4">
      <c r="A239" s="1" t="s">
        <v>332</v>
      </c>
      <c r="B239" s="3">
        <v>46163</v>
      </c>
      <c r="C239" s="1" t="s">
        <v>85</v>
      </c>
      <c r="D239" s="1" t="s">
        <v>24</v>
      </c>
      <c r="E239" s="1" t="s">
        <v>23</v>
      </c>
      <c r="F239" s="1" t="s">
        <v>62</v>
      </c>
      <c r="G239" s="1">
        <v>1</v>
      </c>
      <c r="H239" s="1">
        <v>700</v>
      </c>
      <c r="I239" s="1" t="s">
        <v>19</v>
      </c>
      <c r="J239" s="1" t="s">
        <v>75</v>
      </c>
      <c r="K239" s="1">
        <f>Table1[[#This Row],[Quantity]]*Table1[[#This Row],[Unit Price]]</f>
        <v>700</v>
      </c>
    </row>
    <row r="240" spans="1:11" x14ac:dyDescent="0.4">
      <c r="A240" s="1" t="s">
        <v>333</v>
      </c>
      <c r="B240" s="3">
        <v>46261</v>
      </c>
      <c r="C240" s="1" t="s">
        <v>78</v>
      </c>
      <c r="D240" s="1" t="s">
        <v>22</v>
      </c>
      <c r="E240" s="1" t="s">
        <v>16</v>
      </c>
      <c r="F240" s="1" t="s">
        <v>45</v>
      </c>
      <c r="G240" s="1">
        <v>1</v>
      </c>
      <c r="H240" s="1">
        <v>88</v>
      </c>
      <c r="I240" s="1" t="s">
        <v>11</v>
      </c>
      <c r="J240" s="1" t="s">
        <v>30</v>
      </c>
      <c r="K240" s="1">
        <f>Table1[[#This Row],[Quantity]]*Table1[[#This Row],[Unit Price]]</f>
        <v>88</v>
      </c>
    </row>
    <row r="241" spans="1:11" x14ac:dyDescent="0.4">
      <c r="A241" s="1" t="s">
        <v>334</v>
      </c>
      <c r="B241" s="3">
        <v>46133</v>
      </c>
      <c r="C241" s="1" t="s">
        <v>52</v>
      </c>
      <c r="D241" s="1" t="s">
        <v>14</v>
      </c>
      <c r="E241" s="1" t="s">
        <v>10</v>
      </c>
      <c r="F241" s="1" t="s">
        <v>42</v>
      </c>
      <c r="G241" s="1">
        <v>6</v>
      </c>
      <c r="H241" s="1">
        <v>1980</v>
      </c>
      <c r="I241" s="1" t="s">
        <v>74</v>
      </c>
      <c r="J241" s="1" t="s">
        <v>75</v>
      </c>
      <c r="K241" s="1">
        <f>Table1[[#This Row],[Quantity]]*Table1[[#This Row],[Unit Price]]</f>
        <v>11880</v>
      </c>
    </row>
    <row r="242" spans="1:11" x14ac:dyDescent="0.4">
      <c r="A242" s="1" t="s">
        <v>335</v>
      </c>
      <c r="B242" s="3">
        <v>46276</v>
      </c>
      <c r="C242" s="1" t="s">
        <v>55</v>
      </c>
      <c r="D242" s="1" t="s">
        <v>12</v>
      </c>
      <c r="E242" s="1" t="s">
        <v>10</v>
      </c>
      <c r="F242" s="1" t="s">
        <v>13</v>
      </c>
      <c r="G242" s="1">
        <v>2</v>
      </c>
      <c r="H242" s="1">
        <v>1320</v>
      </c>
      <c r="I242" s="1" t="s">
        <v>74</v>
      </c>
      <c r="J242" s="1" t="s">
        <v>33</v>
      </c>
      <c r="K242" s="1">
        <f>Table1[[#This Row],[Quantity]]*Table1[[#This Row],[Unit Price]]</f>
        <v>2640</v>
      </c>
    </row>
    <row r="243" spans="1:11" x14ac:dyDescent="0.4">
      <c r="A243" s="1" t="s">
        <v>336</v>
      </c>
      <c r="B243" s="3">
        <v>46288</v>
      </c>
      <c r="C243" s="1" t="s">
        <v>76</v>
      </c>
      <c r="D243" s="1" t="s">
        <v>8</v>
      </c>
      <c r="E243" s="1" t="s">
        <v>86</v>
      </c>
      <c r="F243" s="1" t="s">
        <v>89</v>
      </c>
      <c r="G243" s="1">
        <v>2</v>
      </c>
      <c r="H243" s="1">
        <v>665</v>
      </c>
      <c r="I243" s="1" t="s">
        <v>19</v>
      </c>
      <c r="J243" s="1" t="s">
        <v>81</v>
      </c>
      <c r="K243" s="1">
        <f>Table1[[#This Row],[Quantity]]*Table1[[#This Row],[Unit Price]]</f>
        <v>1330</v>
      </c>
    </row>
    <row r="244" spans="1:11" x14ac:dyDescent="0.4">
      <c r="A244" s="1" t="s">
        <v>337</v>
      </c>
      <c r="B244" s="3">
        <v>46219</v>
      </c>
      <c r="C244" s="1" t="s">
        <v>85</v>
      </c>
      <c r="D244" s="1" t="s">
        <v>17</v>
      </c>
      <c r="E244" s="1" t="s">
        <v>83</v>
      </c>
      <c r="F244" s="1" t="s">
        <v>122</v>
      </c>
      <c r="G244" s="1">
        <v>2</v>
      </c>
      <c r="H244" s="1">
        <v>850</v>
      </c>
      <c r="I244" s="1" t="s">
        <v>36</v>
      </c>
      <c r="J244" s="1" t="s">
        <v>73</v>
      </c>
      <c r="K244" s="1">
        <f>Table1[[#This Row],[Quantity]]*Table1[[#This Row],[Unit Price]]</f>
        <v>1700</v>
      </c>
    </row>
    <row r="245" spans="1:11" x14ac:dyDescent="0.4">
      <c r="A245" s="1" t="s">
        <v>338</v>
      </c>
      <c r="B245" s="3">
        <v>46194</v>
      </c>
      <c r="C245" s="1" t="s">
        <v>95</v>
      </c>
      <c r="D245" s="1" t="s">
        <v>22</v>
      </c>
      <c r="E245" s="1" t="s">
        <v>79</v>
      </c>
      <c r="F245" s="1" t="s">
        <v>80</v>
      </c>
      <c r="G245" s="1">
        <v>8</v>
      </c>
      <c r="H245" s="1">
        <v>500</v>
      </c>
      <c r="I245" s="1" t="s">
        <v>11</v>
      </c>
      <c r="J245" s="1" t="s">
        <v>37</v>
      </c>
      <c r="K245" s="1">
        <f>Table1[[#This Row],[Quantity]]*Table1[[#This Row],[Unit Price]]</f>
        <v>4000</v>
      </c>
    </row>
    <row r="246" spans="1:11" x14ac:dyDescent="0.4">
      <c r="A246" s="1" t="s">
        <v>339</v>
      </c>
      <c r="B246" s="3">
        <v>46174</v>
      </c>
      <c r="C246" s="1" t="s">
        <v>50</v>
      </c>
      <c r="D246" s="1" t="s">
        <v>17</v>
      </c>
      <c r="E246" s="1" t="s">
        <v>83</v>
      </c>
      <c r="F246" s="1" t="s">
        <v>84</v>
      </c>
      <c r="G246" s="1">
        <v>1</v>
      </c>
      <c r="H246" s="1">
        <v>315</v>
      </c>
      <c r="I246" s="1" t="s">
        <v>11</v>
      </c>
      <c r="J246" s="1" t="s">
        <v>30</v>
      </c>
      <c r="K246" s="1">
        <f>Table1[[#This Row],[Quantity]]*Table1[[#This Row],[Unit Price]]</f>
        <v>315</v>
      </c>
    </row>
    <row r="247" spans="1:11" x14ac:dyDescent="0.4">
      <c r="A247" s="1" t="s">
        <v>340</v>
      </c>
      <c r="B247" s="3">
        <v>46187</v>
      </c>
      <c r="C247" s="1" t="s">
        <v>50</v>
      </c>
      <c r="D247" s="1" t="s">
        <v>17</v>
      </c>
      <c r="E247" s="1" t="s">
        <v>86</v>
      </c>
      <c r="F247" s="1" t="s">
        <v>87</v>
      </c>
      <c r="G247" s="1">
        <v>5</v>
      </c>
      <c r="H247" s="1">
        <v>1890</v>
      </c>
      <c r="I247" s="1" t="s">
        <v>36</v>
      </c>
      <c r="J247" s="1" t="s">
        <v>75</v>
      </c>
      <c r="K247" s="1">
        <f>Table1[[#This Row],[Quantity]]*Table1[[#This Row],[Unit Price]]</f>
        <v>9450</v>
      </c>
    </row>
    <row r="248" spans="1:11" x14ac:dyDescent="0.4">
      <c r="A248" s="1" t="s">
        <v>341</v>
      </c>
      <c r="B248" s="3">
        <v>46193</v>
      </c>
      <c r="C248" s="1" t="s">
        <v>202</v>
      </c>
      <c r="D248" s="1" t="s">
        <v>25</v>
      </c>
      <c r="E248" s="1" t="s">
        <v>16</v>
      </c>
      <c r="F248" s="1" t="s">
        <v>154</v>
      </c>
      <c r="G248" s="1">
        <v>4</v>
      </c>
      <c r="H248" s="1">
        <v>94.5</v>
      </c>
      <c r="I248" s="1" t="s">
        <v>74</v>
      </c>
      <c r="J248" s="1" t="s">
        <v>37</v>
      </c>
      <c r="K248" s="1">
        <f>Table1[[#This Row],[Quantity]]*Table1[[#This Row],[Unit Price]]</f>
        <v>378</v>
      </c>
    </row>
    <row r="249" spans="1:11" x14ac:dyDescent="0.4">
      <c r="A249" s="1" t="s">
        <v>342</v>
      </c>
      <c r="B249" s="3">
        <v>46240</v>
      </c>
      <c r="C249" s="1" t="s">
        <v>202</v>
      </c>
      <c r="D249" s="1" t="s">
        <v>25</v>
      </c>
      <c r="E249" s="1" t="s">
        <v>10</v>
      </c>
      <c r="F249" s="1" t="s">
        <v>13</v>
      </c>
      <c r="G249" s="1">
        <v>1</v>
      </c>
      <c r="H249" s="1">
        <v>1260</v>
      </c>
      <c r="I249" s="1" t="s">
        <v>19</v>
      </c>
      <c r="J249" s="1" t="s">
        <v>33</v>
      </c>
      <c r="K249" s="1">
        <f>Table1[[#This Row],[Quantity]]*Table1[[#This Row],[Unit Price]]</f>
        <v>1260</v>
      </c>
    </row>
    <row r="250" spans="1:11" x14ac:dyDescent="0.4">
      <c r="A250" s="1" t="s">
        <v>343</v>
      </c>
      <c r="B250" s="3">
        <v>46262</v>
      </c>
      <c r="C250" s="1" t="s">
        <v>153</v>
      </c>
      <c r="D250" s="1" t="s">
        <v>25</v>
      </c>
      <c r="E250" s="1" t="s">
        <v>79</v>
      </c>
      <c r="F250" s="1" t="s">
        <v>80</v>
      </c>
      <c r="G250" s="1">
        <v>1</v>
      </c>
      <c r="H250" s="1">
        <v>500</v>
      </c>
      <c r="I250" s="1" t="s">
        <v>36</v>
      </c>
      <c r="J250" s="1" t="s">
        <v>75</v>
      </c>
      <c r="K250" s="1">
        <f>Table1[[#This Row],[Quantity]]*Table1[[#This Row],[Unit Price]]</f>
        <v>500</v>
      </c>
    </row>
    <row r="251" spans="1:11" x14ac:dyDescent="0.4">
      <c r="A251" s="1" t="s">
        <v>344</v>
      </c>
      <c r="B251" s="3">
        <v>46115</v>
      </c>
      <c r="C251" s="1" t="s">
        <v>78</v>
      </c>
      <c r="D251" s="1" t="s">
        <v>22</v>
      </c>
      <c r="E251" s="1" t="s">
        <v>10</v>
      </c>
      <c r="F251" s="1" t="s">
        <v>115</v>
      </c>
      <c r="G251" s="1">
        <v>2</v>
      </c>
      <c r="H251" s="1">
        <v>2200</v>
      </c>
      <c r="I251" s="1" t="s">
        <v>74</v>
      </c>
      <c r="J251" s="1" t="s">
        <v>37</v>
      </c>
      <c r="K251" s="1">
        <f>Table1[[#This Row],[Quantity]]*Table1[[#This Row],[Unit Price]]</f>
        <v>4400</v>
      </c>
    </row>
    <row r="252" spans="1:11" x14ac:dyDescent="0.4">
      <c r="A252" s="1" t="s">
        <v>345</v>
      </c>
      <c r="B252" s="3">
        <v>46124</v>
      </c>
      <c r="C252" s="1" t="s">
        <v>47</v>
      </c>
      <c r="D252" s="1" t="s">
        <v>22</v>
      </c>
      <c r="E252" s="1" t="s">
        <v>86</v>
      </c>
      <c r="F252" s="1" t="s">
        <v>89</v>
      </c>
      <c r="G252" s="1">
        <v>1</v>
      </c>
      <c r="H252" s="1">
        <v>770</v>
      </c>
      <c r="I252" s="1" t="s">
        <v>36</v>
      </c>
      <c r="J252" s="1" t="s">
        <v>30</v>
      </c>
      <c r="K252" s="1">
        <f>Table1[[#This Row],[Quantity]]*Table1[[#This Row],[Unit Price]]</f>
        <v>770</v>
      </c>
    </row>
    <row r="253" spans="1:11" x14ac:dyDescent="0.4">
      <c r="A253" s="1" t="s">
        <v>346</v>
      </c>
      <c r="B253" s="3">
        <v>46211</v>
      </c>
      <c r="C253" s="1" t="s">
        <v>160</v>
      </c>
      <c r="D253" s="1" t="s">
        <v>24</v>
      </c>
      <c r="E253" s="1" t="s">
        <v>83</v>
      </c>
      <c r="F253" s="1" t="s">
        <v>129</v>
      </c>
      <c r="G253" s="1">
        <v>4</v>
      </c>
      <c r="H253" s="1">
        <v>450</v>
      </c>
      <c r="I253" s="1" t="s">
        <v>19</v>
      </c>
      <c r="J253" s="1" t="s">
        <v>30</v>
      </c>
      <c r="K253" s="1">
        <f>Table1[[#This Row],[Quantity]]*Table1[[#This Row],[Unit Price]]</f>
        <v>1800</v>
      </c>
    </row>
    <row r="254" spans="1:11" x14ac:dyDescent="0.4">
      <c r="A254" s="1" t="s">
        <v>347</v>
      </c>
      <c r="B254" s="3">
        <v>46213</v>
      </c>
      <c r="C254" s="1" t="s">
        <v>102</v>
      </c>
      <c r="D254" s="1" t="s">
        <v>22</v>
      </c>
      <c r="E254" s="1" t="s">
        <v>79</v>
      </c>
      <c r="F254" s="1" t="s">
        <v>105</v>
      </c>
      <c r="G254" s="1">
        <v>4</v>
      </c>
      <c r="H254" s="1">
        <v>4200</v>
      </c>
      <c r="I254" s="1" t="s">
        <v>19</v>
      </c>
      <c r="J254" s="1" t="s">
        <v>33</v>
      </c>
      <c r="K254" s="1">
        <f>Table1[[#This Row],[Quantity]]*Table1[[#This Row],[Unit Price]]</f>
        <v>16800</v>
      </c>
    </row>
    <row r="255" spans="1:11" x14ac:dyDescent="0.4">
      <c r="A255" s="1" t="s">
        <v>348</v>
      </c>
      <c r="B255" s="3">
        <v>46267</v>
      </c>
      <c r="C255" s="1" t="s">
        <v>32</v>
      </c>
      <c r="D255" s="1" t="s">
        <v>17</v>
      </c>
      <c r="E255" s="1" t="s">
        <v>86</v>
      </c>
      <c r="F255" s="1" t="s">
        <v>89</v>
      </c>
      <c r="G255" s="1">
        <v>2</v>
      </c>
      <c r="H255" s="1">
        <v>665</v>
      </c>
      <c r="I255" s="1" t="s">
        <v>36</v>
      </c>
      <c r="J255" s="1" t="s">
        <v>81</v>
      </c>
      <c r="K255" s="1">
        <f>Table1[[#This Row],[Quantity]]*Table1[[#This Row],[Unit Price]]</f>
        <v>1330</v>
      </c>
    </row>
    <row r="256" spans="1:11" x14ac:dyDescent="0.4">
      <c r="A256" s="1" t="s">
        <v>349</v>
      </c>
      <c r="B256" s="3">
        <v>46245</v>
      </c>
      <c r="C256" s="1" t="s">
        <v>41</v>
      </c>
      <c r="D256" s="1" t="s">
        <v>22</v>
      </c>
      <c r="E256" s="1" t="s">
        <v>83</v>
      </c>
      <c r="F256" s="1" t="s">
        <v>84</v>
      </c>
      <c r="G256" s="1">
        <v>1</v>
      </c>
      <c r="H256" s="1">
        <v>330</v>
      </c>
      <c r="I256" s="1" t="s">
        <v>36</v>
      </c>
      <c r="J256" s="1" t="s">
        <v>33</v>
      </c>
      <c r="K256" s="1">
        <f>Table1[[#This Row],[Quantity]]*Table1[[#This Row],[Unit Price]]</f>
        <v>330</v>
      </c>
    </row>
    <row r="257" spans="1:11" x14ac:dyDescent="0.4">
      <c r="A257" s="1" t="s">
        <v>350</v>
      </c>
      <c r="B257" s="3">
        <v>46213</v>
      </c>
      <c r="C257" s="1" t="s">
        <v>160</v>
      </c>
      <c r="D257" s="1" t="s">
        <v>25</v>
      </c>
      <c r="E257" s="1" t="s">
        <v>23</v>
      </c>
      <c r="F257" s="1" t="s">
        <v>98</v>
      </c>
      <c r="G257" s="1">
        <v>3</v>
      </c>
      <c r="H257" s="1">
        <v>660</v>
      </c>
      <c r="I257" s="1" t="s">
        <v>36</v>
      </c>
      <c r="J257" s="1" t="s">
        <v>81</v>
      </c>
      <c r="K257" s="1">
        <f>Table1[[#This Row],[Quantity]]*Table1[[#This Row],[Unit Price]]</f>
        <v>1980</v>
      </c>
    </row>
    <row r="258" spans="1:11" x14ac:dyDescent="0.4">
      <c r="A258" s="1" t="s">
        <v>351</v>
      </c>
      <c r="B258" s="3">
        <v>46117</v>
      </c>
      <c r="C258" s="1" t="s">
        <v>67</v>
      </c>
      <c r="D258" s="1" t="s">
        <v>12</v>
      </c>
      <c r="E258" s="1" t="s">
        <v>79</v>
      </c>
      <c r="F258" s="1" t="s">
        <v>105</v>
      </c>
      <c r="G258" s="1">
        <v>2</v>
      </c>
      <c r="H258" s="1">
        <v>3990</v>
      </c>
      <c r="I258" s="1" t="s">
        <v>11</v>
      </c>
      <c r="J258" s="1" t="s">
        <v>75</v>
      </c>
      <c r="K258" s="1">
        <f>Table1[[#This Row],[Quantity]]*Table1[[#This Row],[Unit Price]]</f>
        <v>7980</v>
      </c>
    </row>
    <row r="259" spans="1:11" x14ac:dyDescent="0.4">
      <c r="A259" s="1" t="s">
        <v>352</v>
      </c>
      <c r="B259" s="3">
        <v>46234</v>
      </c>
      <c r="C259" s="1" t="s">
        <v>30</v>
      </c>
      <c r="D259" s="1" t="s">
        <v>14</v>
      </c>
      <c r="E259" s="1" t="s">
        <v>23</v>
      </c>
      <c r="F259" s="1" t="s">
        <v>53</v>
      </c>
      <c r="G259" s="1">
        <v>8</v>
      </c>
      <c r="H259" s="1">
        <v>605</v>
      </c>
      <c r="I259" s="1" t="s">
        <v>11</v>
      </c>
      <c r="J259" s="1" t="s">
        <v>75</v>
      </c>
      <c r="K259" s="1">
        <f>Table1[[#This Row],[Quantity]]*Table1[[#This Row],[Unit Price]]</f>
        <v>4840</v>
      </c>
    </row>
    <row r="260" spans="1:11" x14ac:dyDescent="0.4">
      <c r="A260" s="1" t="s">
        <v>353</v>
      </c>
      <c r="B260" s="3">
        <v>46235</v>
      </c>
      <c r="C260" s="1" t="s">
        <v>95</v>
      </c>
      <c r="D260" s="1" t="s">
        <v>21</v>
      </c>
      <c r="E260" s="1" t="s">
        <v>16</v>
      </c>
      <c r="F260" s="1" t="s">
        <v>56</v>
      </c>
      <c r="G260" s="1">
        <v>3</v>
      </c>
      <c r="H260" s="1">
        <v>220</v>
      </c>
      <c r="I260" s="1" t="s">
        <v>19</v>
      </c>
      <c r="J260" s="1" t="s">
        <v>73</v>
      </c>
      <c r="K260" s="1">
        <f>Table1[[#This Row],[Quantity]]*Table1[[#This Row],[Unit Price]]</f>
        <v>660</v>
      </c>
    </row>
    <row r="261" spans="1:11" x14ac:dyDescent="0.4">
      <c r="A261" s="1" t="s">
        <v>354</v>
      </c>
      <c r="B261" s="3">
        <v>46175</v>
      </c>
      <c r="C261" s="1" t="s">
        <v>47</v>
      </c>
      <c r="D261" s="1" t="s">
        <v>8</v>
      </c>
      <c r="E261" s="1" t="s">
        <v>10</v>
      </c>
      <c r="F261" s="1" t="s">
        <v>42</v>
      </c>
      <c r="G261" s="1">
        <v>3</v>
      </c>
      <c r="H261" s="1">
        <v>1710</v>
      </c>
      <c r="I261" s="1" t="s">
        <v>74</v>
      </c>
      <c r="J261" s="1" t="s">
        <v>37</v>
      </c>
      <c r="K261" s="1">
        <f>Table1[[#This Row],[Quantity]]*Table1[[#This Row],[Unit Price]]</f>
        <v>5130</v>
      </c>
    </row>
    <row r="262" spans="1:11" x14ac:dyDescent="0.4">
      <c r="A262" s="1" t="s">
        <v>355</v>
      </c>
      <c r="B262" s="3">
        <v>46220</v>
      </c>
      <c r="C262" s="1" t="s">
        <v>67</v>
      </c>
      <c r="D262" s="1" t="s">
        <v>25</v>
      </c>
      <c r="E262" s="1" t="s">
        <v>16</v>
      </c>
      <c r="F262" s="1" t="s">
        <v>45</v>
      </c>
      <c r="G262" s="1">
        <v>2</v>
      </c>
      <c r="H262" s="1">
        <v>80</v>
      </c>
      <c r="I262" s="1" t="s">
        <v>11</v>
      </c>
      <c r="J262" s="1" t="s">
        <v>73</v>
      </c>
      <c r="K262" s="1">
        <f>Table1[[#This Row],[Quantity]]*Table1[[#This Row],[Unit Price]]</f>
        <v>160</v>
      </c>
    </row>
    <row r="263" spans="1:11" x14ac:dyDescent="0.4">
      <c r="A263" s="1" t="s">
        <v>356</v>
      </c>
      <c r="B263" s="3">
        <v>46148</v>
      </c>
      <c r="C263" s="1" t="s">
        <v>202</v>
      </c>
      <c r="D263" s="1" t="s">
        <v>21</v>
      </c>
      <c r="E263" s="1" t="s">
        <v>16</v>
      </c>
      <c r="F263" s="1" t="s">
        <v>77</v>
      </c>
      <c r="G263" s="1">
        <v>3</v>
      </c>
      <c r="H263" s="1">
        <v>262.5</v>
      </c>
      <c r="I263" s="1" t="s">
        <v>36</v>
      </c>
      <c r="J263" s="1" t="s">
        <v>33</v>
      </c>
      <c r="K263" s="1">
        <f>Table1[[#This Row],[Quantity]]*Table1[[#This Row],[Unit Price]]</f>
        <v>787.5</v>
      </c>
    </row>
    <row r="264" spans="1:11" x14ac:dyDescent="0.4">
      <c r="A264" s="1" t="s">
        <v>357</v>
      </c>
      <c r="B264" s="3">
        <v>46230</v>
      </c>
      <c r="C264" s="1" t="s">
        <v>85</v>
      </c>
      <c r="D264" s="1" t="s">
        <v>25</v>
      </c>
      <c r="E264" s="1" t="s">
        <v>79</v>
      </c>
      <c r="F264" s="1" t="s">
        <v>107</v>
      </c>
      <c r="G264" s="1">
        <v>3</v>
      </c>
      <c r="H264" s="1">
        <v>1800</v>
      </c>
      <c r="I264" s="1" t="s">
        <v>19</v>
      </c>
      <c r="J264" s="1" t="s">
        <v>33</v>
      </c>
      <c r="K264" s="1">
        <f>Table1[[#This Row],[Quantity]]*Table1[[#This Row],[Unit Price]]</f>
        <v>5400</v>
      </c>
    </row>
    <row r="265" spans="1:11" x14ac:dyDescent="0.4">
      <c r="A265" s="1" t="s">
        <v>358</v>
      </c>
      <c r="B265" s="3">
        <v>46184</v>
      </c>
      <c r="C265" s="1" t="s">
        <v>95</v>
      </c>
      <c r="D265" s="1" t="s">
        <v>12</v>
      </c>
      <c r="E265" s="1" t="s">
        <v>23</v>
      </c>
      <c r="F265" s="1" t="s">
        <v>98</v>
      </c>
      <c r="G265" s="1">
        <v>1</v>
      </c>
      <c r="H265" s="1">
        <v>600</v>
      </c>
      <c r="I265" s="1" t="s">
        <v>19</v>
      </c>
      <c r="J265" s="1" t="s">
        <v>73</v>
      </c>
      <c r="K265" s="1">
        <f>Table1[[#This Row],[Quantity]]*Table1[[#This Row],[Unit Price]]</f>
        <v>600</v>
      </c>
    </row>
    <row r="266" spans="1:11" x14ac:dyDescent="0.4">
      <c r="A266" s="1" t="s">
        <v>359</v>
      </c>
      <c r="B266" s="3">
        <v>46293</v>
      </c>
      <c r="C266" s="1" t="s">
        <v>102</v>
      </c>
      <c r="D266" s="1" t="s">
        <v>12</v>
      </c>
      <c r="E266" s="1" t="s">
        <v>83</v>
      </c>
      <c r="F266" s="1" t="s">
        <v>91</v>
      </c>
      <c r="G266" s="1">
        <v>2</v>
      </c>
      <c r="H266" s="1">
        <v>250</v>
      </c>
      <c r="I266" s="1" t="s">
        <v>36</v>
      </c>
      <c r="J266" s="1" t="s">
        <v>30</v>
      </c>
      <c r="K266" s="1">
        <f>Table1[[#This Row],[Quantity]]*Table1[[#This Row],[Unit Price]]</f>
        <v>500</v>
      </c>
    </row>
    <row r="267" spans="1:11" x14ac:dyDescent="0.4">
      <c r="A267" s="1" t="s">
        <v>360</v>
      </c>
      <c r="B267" s="3">
        <v>46259</v>
      </c>
      <c r="C267" s="1" t="s">
        <v>160</v>
      </c>
      <c r="D267" s="1" t="s">
        <v>22</v>
      </c>
      <c r="E267" s="1" t="s">
        <v>86</v>
      </c>
      <c r="F267" s="1" t="s">
        <v>87</v>
      </c>
      <c r="G267" s="1">
        <v>5</v>
      </c>
      <c r="H267" s="1">
        <v>1890</v>
      </c>
      <c r="I267" s="1" t="s">
        <v>19</v>
      </c>
      <c r="J267" s="1" t="s">
        <v>37</v>
      </c>
      <c r="K267" s="1">
        <f>Table1[[#This Row],[Quantity]]*Table1[[#This Row],[Unit Price]]</f>
        <v>9450</v>
      </c>
    </row>
    <row r="268" spans="1:11" x14ac:dyDescent="0.4">
      <c r="A268" s="1" t="s">
        <v>361</v>
      </c>
      <c r="B268" s="3">
        <v>46123</v>
      </c>
      <c r="C268" s="1" t="s">
        <v>61</v>
      </c>
      <c r="D268" s="1" t="s">
        <v>25</v>
      </c>
      <c r="E268" s="1" t="s">
        <v>23</v>
      </c>
      <c r="F268" s="1" t="s">
        <v>71</v>
      </c>
      <c r="G268" s="1">
        <v>8</v>
      </c>
      <c r="H268" s="1">
        <v>760</v>
      </c>
      <c r="I268" s="1" t="s">
        <v>36</v>
      </c>
      <c r="J268" s="1" t="s">
        <v>73</v>
      </c>
      <c r="K268" s="1">
        <f>Table1[[#This Row],[Quantity]]*Table1[[#This Row],[Unit Price]]</f>
        <v>6080</v>
      </c>
    </row>
    <row r="269" spans="1:11" x14ac:dyDescent="0.4">
      <c r="A269" s="1" t="s">
        <v>362</v>
      </c>
      <c r="B269" s="3">
        <v>46235</v>
      </c>
      <c r="C269" s="1" t="s">
        <v>52</v>
      </c>
      <c r="D269" s="1" t="s">
        <v>12</v>
      </c>
      <c r="E269" s="1" t="s">
        <v>16</v>
      </c>
      <c r="F269" s="1" t="s">
        <v>77</v>
      </c>
      <c r="G269" s="1">
        <v>1</v>
      </c>
      <c r="H269" s="1">
        <v>275</v>
      </c>
      <c r="I269" s="1" t="s">
        <v>19</v>
      </c>
      <c r="J269" s="1" t="s">
        <v>30</v>
      </c>
      <c r="K269" s="1">
        <f>Table1[[#This Row],[Quantity]]*Table1[[#This Row],[Unit Price]]</f>
        <v>275</v>
      </c>
    </row>
    <row r="270" spans="1:11" x14ac:dyDescent="0.4">
      <c r="A270" s="1" t="s">
        <v>363</v>
      </c>
      <c r="B270" s="3">
        <v>46270</v>
      </c>
      <c r="C270" s="1" t="s">
        <v>50</v>
      </c>
      <c r="D270" s="1" t="s">
        <v>14</v>
      </c>
      <c r="E270" s="1" t="s">
        <v>23</v>
      </c>
      <c r="F270" s="1" t="s">
        <v>48</v>
      </c>
      <c r="G270" s="1">
        <v>1</v>
      </c>
      <c r="H270" s="1">
        <v>1045</v>
      </c>
      <c r="I270" s="1" t="s">
        <v>11</v>
      </c>
      <c r="J270" s="1" t="s">
        <v>30</v>
      </c>
      <c r="K270" s="1">
        <f>Table1[[#This Row],[Quantity]]*Table1[[#This Row],[Unit Price]]</f>
        <v>1045</v>
      </c>
    </row>
    <row r="271" spans="1:11" x14ac:dyDescent="0.4">
      <c r="A271" s="1" t="s">
        <v>364</v>
      </c>
      <c r="B271" s="3">
        <v>46218</v>
      </c>
      <c r="C271" s="1" t="s">
        <v>111</v>
      </c>
      <c r="D271" s="1" t="s">
        <v>17</v>
      </c>
      <c r="E271" s="1" t="s">
        <v>79</v>
      </c>
      <c r="F271" s="1" t="s">
        <v>107</v>
      </c>
      <c r="G271" s="1">
        <v>4</v>
      </c>
      <c r="H271" s="1">
        <v>1710</v>
      </c>
      <c r="I271" s="1" t="s">
        <v>11</v>
      </c>
      <c r="J271" s="1" t="s">
        <v>75</v>
      </c>
      <c r="K271" s="1">
        <f>Table1[[#This Row],[Quantity]]*Table1[[#This Row],[Unit Price]]</f>
        <v>6840</v>
      </c>
    </row>
    <row r="272" spans="1:11" x14ac:dyDescent="0.4">
      <c r="A272" s="1" t="s">
        <v>365</v>
      </c>
      <c r="B272" s="3">
        <v>46153</v>
      </c>
      <c r="C272" s="1" t="s">
        <v>153</v>
      </c>
      <c r="D272" s="1" t="s">
        <v>14</v>
      </c>
      <c r="E272" s="1" t="s">
        <v>86</v>
      </c>
      <c r="F272" s="1" t="s">
        <v>112</v>
      </c>
      <c r="G272" s="1">
        <v>3</v>
      </c>
      <c r="H272" s="1">
        <v>945</v>
      </c>
      <c r="I272" s="1" t="s">
        <v>36</v>
      </c>
      <c r="J272" s="1" t="s">
        <v>37</v>
      </c>
      <c r="K272" s="1">
        <f>Table1[[#This Row],[Quantity]]*Table1[[#This Row],[Unit Price]]</f>
        <v>2835</v>
      </c>
    </row>
    <row r="273" spans="1:11" x14ac:dyDescent="0.4">
      <c r="A273" s="1" t="s">
        <v>366</v>
      </c>
      <c r="B273" s="3">
        <v>46186</v>
      </c>
      <c r="C273" s="1" t="s">
        <v>190</v>
      </c>
      <c r="D273" s="1" t="s">
        <v>14</v>
      </c>
      <c r="E273" s="1" t="s">
        <v>10</v>
      </c>
      <c r="F273" s="1" t="s">
        <v>20</v>
      </c>
      <c r="G273" s="1">
        <v>6</v>
      </c>
      <c r="H273" s="1">
        <v>285</v>
      </c>
      <c r="I273" s="1" t="s">
        <v>11</v>
      </c>
      <c r="J273" s="1" t="s">
        <v>33</v>
      </c>
      <c r="K273" s="1">
        <f>Table1[[#This Row],[Quantity]]*Table1[[#This Row],[Unit Price]]</f>
        <v>1710</v>
      </c>
    </row>
    <row r="274" spans="1:11" x14ac:dyDescent="0.4">
      <c r="A274" s="1" t="s">
        <v>367</v>
      </c>
      <c r="B274" s="3">
        <v>46219</v>
      </c>
      <c r="C274" s="1" t="s">
        <v>160</v>
      </c>
      <c r="D274" s="1" t="s">
        <v>21</v>
      </c>
      <c r="E274" s="1" t="s">
        <v>16</v>
      </c>
      <c r="F274" s="1" t="s">
        <v>65</v>
      </c>
      <c r="G274" s="1">
        <v>6</v>
      </c>
      <c r="H274" s="1">
        <v>142.5</v>
      </c>
      <c r="I274" s="1" t="s">
        <v>74</v>
      </c>
      <c r="J274" s="1" t="s">
        <v>33</v>
      </c>
      <c r="K274" s="1">
        <f>Table1[[#This Row],[Quantity]]*Table1[[#This Row],[Unit Price]]</f>
        <v>855</v>
      </c>
    </row>
    <row r="275" spans="1:11" x14ac:dyDescent="0.4">
      <c r="A275" s="1" t="s">
        <v>368</v>
      </c>
      <c r="B275" s="3">
        <v>46187</v>
      </c>
      <c r="C275" s="1" t="s">
        <v>85</v>
      </c>
      <c r="D275" s="1" t="s">
        <v>24</v>
      </c>
      <c r="E275" s="1" t="s">
        <v>10</v>
      </c>
      <c r="F275" s="1" t="s">
        <v>42</v>
      </c>
      <c r="G275" s="1">
        <v>1</v>
      </c>
      <c r="H275" s="1">
        <v>1980</v>
      </c>
      <c r="I275" s="1" t="s">
        <v>36</v>
      </c>
      <c r="J275" s="1" t="s">
        <v>37</v>
      </c>
      <c r="K275" s="1">
        <f>Table1[[#This Row],[Quantity]]*Table1[[#This Row],[Unit Price]]</f>
        <v>1980</v>
      </c>
    </row>
    <row r="276" spans="1:11" x14ac:dyDescent="0.4">
      <c r="A276" s="1" t="s">
        <v>369</v>
      </c>
      <c r="B276" s="3">
        <v>46229</v>
      </c>
      <c r="C276" s="1" t="s">
        <v>90</v>
      </c>
      <c r="D276" s="1" t="s">
        <v>25</v>
      </c>
      <c r="E276" s="1" t="s">
        <v>83</v>
      </c>
      <c r="F276" s="1" t="s">
        <v>91</v>
      </c>
      <c r="G276" s="1">
        <v>5</v>
      </c>
      <c r="H276" s="1">
        <v>250</v>
      </c>
      <c r="I276" s="1" t="s">
        <v>36</v>
      </c>
      <c r="J276" s="1" t="s">
        <v>33</v>
      </c>
      <c r="K276" s="1">
        <f>Table1[[#This Row],[Quantity]]*Table1[[#This Row],[Unit Price]]</f>
        <v>1250</v>
      </c>
    </row>
    <row r="277" spans="1:11" x14ac:dyDescent="0.4">
      <c r="A277" s="1" t="s">
        <v>370</v>
      </c>
      <c r="B277" s="3">
        <v>46141</v>
      </c>
      <c r="C277" s="1" t="s">
        <v>190</v>
      </c>
      <c r="D277" s="1" t="s">
        <v>12</v>
      </c>
      <c r="E277" s="1" t="s">
        <v>79</v>
      </c>
      <c r="F277" s="1" t="s">
        <v>107</v>
      </c>
      <c r="G277" s="1">
        <v>1</v>
      </c>
      <c r="H277" s="1">
        <v>1890</v>
      </c>
      <c r="I277" s="1" t="s">
        <v>19</v>
      </c>
      <c r="J277" s="1" t="s">
        <v>30</v>
      </c>
      <c r="K277" s="1">
        <f>Table1[[#This Row],[Quantity]]*Table1[[#This Row],[Unit Price]]</f>
        <v>1890</v>
      </c>
    </row>
    <row r="278" spans="1:11" x14ac:dyDescent="0.4">
      <c r="A278" s="1" t="s">
        <v>371</v>
      </c>
      <c r="B278" s="3">
        <v>46199</v>
      </c>
      <c r="C278" s="1" t="s">
        <v>44</v>
      </c>
      <c r="D278" s="1" t="s">
        <v>21</v>
      </c>
      <c r="E278" s="1" t="s">
        <v>23</v>
      </c>
      <c r="F278" s="1" t="s">
        <v>71</v>
      </c>
      <c r="G278" s="1">
        <v>3</v>
      </c>
      <c r="H278" s="1">
        <v>800</v>
      </c>
      <c r="I278" s="1" t="s">
        <v>74</v>
      </c>
      <c r="J278" s="1" t="s">
        <v>75</v>
      </c>
      <c r="K278" s="1">
        <f>Table1[[#This Row],[Quantity]]*Table1[[#This Row],[Unit Price]]</f>
        <v>2400</v>
      </c>
    </row>
    <row r="279" spans="1:11" x14ac:dyDescent="0.4">
      <c r="A279" s="1" t="s">
        <v>372</v>
      </c>
      <c r="B279" s="3">
        <v>46196</v>
      </c>
      <c r="C279" s="1" t="s">
        <v>44</v>
      </c>
      <c r="D279" s="1" t="s">
        <v>17</v>
      </c>
      <c r="E279" s="1" t="s">
        <v>10</v>
      </c>
      <c r="F279" s="1" t="s">
        <v>68</v>
      </c>
      <c r="G279" s="1">
        <v>2</v>
      </c>
      <c r="H279" s="1">
        <v>2375</v>
      </c>
      <c r="I279" s="1" t="s">
        <v>74</v>
      </c>
      <c r="J279" s="1" t="s">
        <v>37</v>
      </c>
      <c r="K279" s="1">
        <f>Table1[[#This Row],[Quantity]]*Table1[[#This Row],[Unit Price]]</f>
        <v>4750</v>
      </c>
    </row>
    <row r="280" spans="1:11" x14ac:dyDescent="0.4">
      <c r="A280" s="1" t="s">
        <v>373</v>
      </c>
      <c r="B280" s="3">
        <v>46176</v>
      </c>
      <c r="C280" s="1" t="s">
        <v>70</v>
      </c>
      <c r="D280" s="1" t="s">
        <v>12</v>
      </c>
      <c r="E280" s="1" t="s">
        <v>10</v>
      </c>
      <c r="F280" s="1" t="s">
        <v>9</v>
      </c>
      <c r="G280" s="1">
        <v>1</v>
      </c>
      <c r="H280" s="1">
        <v>650</v>
      </c>
      <c r="I280" s="1" t="s">
        <v>36</v>
      </c>
      <c r="J280" s="1" t="s">
        <v>37</v>
      </c>
      <c r="K280" s="1">
        <f>Table1[[#This Row],[Quantity]]*Table1[[#This Row],[Unit Price]]</f>
        <v>650</v>
      </c>
    </row>
    <row r="281" spans="1:11" x14ac:dyDescent="0.4">
      <c r="A281" s="1" t="s">
        <v>374</v>
      </c>
      <c r="B281" s="3">
        <v>46262</v>
      </c>
      <c r="C281" s="1" t="s">
        <v>76</v>
      </c>
      <c r="D281" s="1" t="s">
        <v>14</v>
      </c>
      <c r="E281" s="1" t="s">
        <v>10</v>
      </c>
      <c r="F281" s="1" t="s">
        <v>9</v>
      </c>
      <c r="G281" s="1">
        <v>1</v>
      </c>
      <c r="H281" s="1">
        <v>650</v>
      </c>
      <c r="I281" s="1" t="s">
        <v>11</v>
      </c>
      <c r="J281" s="1" t="s">
        <v>73</v>
      </c>
      <c r="K281" s="1">
        <f>Table1[[#This Row],[Quantity]]*Table1[[#This Row],[Unit Price]]</f>
        <v>650</v>
      </c>
    </row>
    <row r="282" spans="1:11" x14ac:dyDescent="0.4">
      <c r="A282" s="1" t="s">
        <v>375</v>
      </c>
      <c r="B282" s="3">
        <v>46143</v>
      </c>
      <c r="C282" s="1" t="s">
        <v>111</v>
      </c>
      <c r="D282" s="1" t="s">
        <v>12</v>
      </c>
      <c r="E282" s="1" t="s">
        <v>83</v>
      </c>
      <c r="F282" s="1" t="s">
        <v>84</v>
      </c>
      <c r="G282" s="1">
        <v>2</v>
      </c>
      <c r="H282" s="1">
        <v>315</v>
      </c>
      <c r="I282" s="1" t="s">
        <v>11</v>
      </c>
      <c r="J282" s="1" t="s">
        <v>73</v>
      </c>
      <c r="K282" s="1">
        <f>Table1[[#This Row],[Quantity]]*Table1[[#This Row],[Unit Price]]</f>
        <v>630</v>
      </c>
    </row>
    <row r="283" spans="1:11" x14ac:dyDescent="0.4">
      <c r="A283" s="1" t="s">
        <v>376</v>
      </c>
      <c r="B283" s="3">
        <v>46188</v>
      </c>
      <c r="C283" s="1" t="s">
        <v>41</v>
      </c>
      <c r="D283" s="1" t="s">
        <v>25</v>
      </c>
      <c r="E283" s="1" t="s">
        <v>79</v>
      </c>
      <c r="F283" s="1" t="s">
        <v>105</v>
      </c>
      <c r="G283" s="1">
        <v>3</v>
      </c>
      <c r="H283" s="1">
        <v>4200</v>
      </c>
      <c r="I283" s="1" t="s">
        <v>19</v>
      </c>
      <c r="J283" s="1" t="s">
        <v>81</v>
      </c>
      <c r="K283" s="1">
        <f>Table1[[#This Row],[Quantity]]*Table1[[#This Row],[Unit Price]]</f>
        <v>12600</v>
      </c>
    </row>
    <row r="284" spans="1:11" x14ac:dyDescent="0.4">
      <c r="A284" s="1" t="s">
        <v>377</v>
      </c>
      <c r="B284" s="3">
        <v>46268</v>
      </c>
      <c r="C284" s="1" t="s">
        <v>157</v>
      </c>
      <c r="D284" s="1" t="s">
        <v>25</v>
      </c>
      <c r="E284" s="1" t="s">
        <v>79</v>
      </c>
      <c r="F284" s="1" t="s">
        <v>105</v>
      </c>
      <c r="G284" s="1">
        <v>2</v>
      </c>
      <c r="H284" s="1">
        <v>4620</v>
      </c>
      <c r="I284" s="1" t="s">
        <v>19</v>
      </c>
      <c r="J284" s="1" t="s">
        <v>33</v>
      </c>
      <c r="K284" s="1">
        <f>Table1[[#This Row],[Quantity]]*Table1[[#This Row],[Unit Price]]</f>
        <v>9240</v>
      </c>
    </row>
    <row r="285" spans="1:11" x14ac:dyDescent="0.4">
      <c r="A285" s="1" t="s">
        <v>378</v>
      </c>
      <c r="B285" s="3">
        <v>46287</v>
      </c>
      <c r="C285" s="1" t="s">
        <v>76</v>
      </c>
      <c r="D285" s="1" t="s">
        <v>22</v>
      </c>
      <c r="E285" s="1" t="s">
        <v>10</v>
      </c>
      <c r="F285" s="1" t="s">
        <v>68</v>
      </c>
      <c r="G285" s="1">
        <v>3</v>
      </c>
      <c r="H285" s="1">
        <v>2750</v>
      </c>
      <c r="I285" s="1" t="s">
        <v>11</v>
      </c>
      <c r="J285" s="1" t="s">
        <v>75</v>
      </c>
      <c r="K285" s="1">
        <f>Table1[[#This Row],[Quantity]]*Table1[[#This Row],[Unit Price]]</f>
        <v>8250</v>
      </c>
    </row>
    <row r="286" spans="1:11" x14ac:dyDescent="0.4">
      <c r="A286" s="1" t="s">
        <v>379</v>
      </c>
      <c r="B286" s="3">
        <v>46141</v>
      </c>
      <c r="C286" s="1" t="s">
        <v>47</v>
      </c>
      <c r="D286" s="1" t="s">
        <v>17</v>
      </c>
      <c r="E286" s="1" t="s">
        <v>10</v>
      </c>
      <c r="F286" s="1" t="s">
        <v>20</v>
      </c>
      <c r="G286" s="1">
        <v>5</v>
      </c>
      <c r="H286" s="1">
        <v>330</v>
      </c>
      <c r="I286" s="1" t="s">
        <v>19</v>
      </c>
      <c r="J286" s="1" t="s">
        <v>37</v>
      </c>
      <c r="K286" s="1">
        <f>Table1[[#This Row],[Quantity]]*Table1[[#This Row],[Unit Price]]</f>
        <v>1650</v>
      </c>
    </row>
    <row r="287" spans="1:11" x14ac:dyDescent="0.4">
      <c r="A287" s="1" t="s">
        <v>380</v>
      </c>
      <c r="B287" s="3">
        <v>46246</v>
      </c>
      <c r="C287" s="1" t="s">
        <v>76</v>
      </c>
      <c r="D287" s="1" t="s">
        <v>25</v>
      </c>
      <c r="E287" s="1" t="s">
        <v>83</v>
      </c>
      <c r="F287" s="1" t="s">
        <v>129</v>
      </c>
      <c r="G287" s="1">
        <v>1</v>
      </c>
      <c r="H287" s="1">
        <v>450</v>
      </c>
      <c r="I287" s="1" t="s">
        <v>11</v>
      </c>
      <c r="J287" s="1" t="s">
        <v>75</v>
      </c>
      <c r="K287" s="1">
        <f>Table1[[#This Row],[Quantity]]*Table1[[#This Row],[Unit Price]]</f>
        <v>450</v>
      </c>
    </row>
    <row r="288" spans="1:11" x14ac:dyDescent="0.4">
      <c r="A288" s="1" t="s">
        <v>381</v>
      </c>
      <c r="B288" s="3">
        <v>46227</v>
      </c>
      <c r="C288" s="1" t="s">
        <v>67</v>
      </c>
      <c r="D288" s="1" t="s">
        <v>25</v>
      </c>
      <c r="E288" s="1" t="s">
        <v>10</v>
      </c>
      <c r="F288" s="1" t="s">
        <v>20</v>
      </c>
      <c r="G288" s="1">
        <v>2</v>
      </c>
      <c r="H288" s="1">
        <v>330</v>
      </c>
      <c r="I288" s="1" t="s">
        <v>11</v>
      </c>
      <c r="J288" s="1" t="s">
        <v>75</v>
      </c>
      <c r="K288" s="1">
        <f>Table1[[#This Row],[Quantity]]*Table1[[#This Row],[Unit Price]]</f>
        <v>660</v>
      </c>
    </row>
    <row r="289" spans="1:11" x14ac:dyDescent="0.4">
      <c r="A289" s="1" t="s">
        <v>382</v>
      </c>
      <c r="B289" s="3">
        <v>46231</v>
      </c>
      <c r="C289" s="1" t="s">
        <v>52</v>
      </c>
      <c r="D289" s="1" t="s">
        <v>8</v>
      </c>
      <c r="E289" s="1" t="s">
        <v>23</v>
      </c>
      <c r="F289" s="1" t="s">
        <v>98</v>
      </c>
      <c r="G289" s="1">
        <v>4</v>
      </c>
      <c r="H289" s="1">
        <v>630</v>
      </c>
      <c r="I289" s="1" t="s">
        <v>19</v>
      </c>
      <c r="J289" s="1" t="s">
        <v>75</v>
      </c>
      <c r="K289" s="1">
        <f>Table1[[#This Row],[Quantity]]*Table1[[#This Row],[Unit Price]]</f>
        <v>2520</v>
      </c>
    </row>
    <row r="290" spans="1:11" x14ac:dyDescent="0.4">
      <c r="A290" s="1" t="s">
        <v>383</v>
      </c>
      <c r="B290" s="3">
        <v>46131</v>
      </c>
      <c r="C290" s="1" t="s">
        <v>102</v>
      </c>
      <c r="D290" s="1" t="s">
        <v>8</v>
      </c>
      <c r="E290" s="1" t="s">
        <v>10</v>
      </c>
      <c r="F290" s="1" t="s">
        <v>42</v>
      </c>
      <c r="G290" s="1">
        <v>2</v>
      </c>
      <c r="H290" s="1">
        <v>1710</v>
      </c>
      <c r="I290" s="1" t="s">
        <v>11</v>
      </c>
      <c r="J290" s="1" t="s">
        <v>81</v>
      </c>
      <c r="K290" s="1">
        <f>Table1[[#This Row],[Quantity]]*Table1[[#This Row],[Unit Price]]</f>
        <v>3420</v>
      </c>
    </row>
    <row r="291" spans="1:11" x14ac:dyDescent="0.4">
      <c r="A291" s="1" t="s">
        <v>384</v>
      </c>
      <c r="B291" s="3">
        <v>46121</v>
      </c>
      <c r="C291" s="1" t="s">
        <v>95</v>
      </c>
      <c r="D291" s="1" t="s">
        <v>21</v>
      </c>
      <c r="E291" s="1" t="s">
        <v>23</v>
      </c>
      <c r="F291" s="1" t="s">
        <v>71</v>
      </c>
      <c r="G291" s="1">
        <v>2</v>
      </c>
      <c r="H291" s="1">
        <v>800</v>
      </c>
      <c r="I291" s="1" t="s">
        <v>36</v>
      </c>
      <c r="J291" s="1" t="s">
        <v>81</v>
      </c>
      <c r="K291" s="1">
        <f>Table1[[#This Row],[Quantity]]*Table1[[#This Row],[Unit Price]]</f>
        <v>1600</v>
      </c>
    </row>
    <row r="292" spans="1:11" x14ac:dyDescent="0.4">
      <c r="A292" s="1" t="s">
        <v>385</v>
      </c>
      <c r="B292" s="3">
        <v>46227</v>
      </c>
      <c r="C292" s="1" t="s">
        <v>41</v>
      </c>
      <c r="D292" s="1" t="s">
        <v>22</v>
      </c>
      <c r="E292" s="1" t="s">
        <v>86</v>
      </c>
      <c r="F292" s="1" t="s">
        <v>87</v>
      </c>
      <c r="G292" s="1">
        <v>2</v>
      </c>
      <c r="H292" s="1">
        <v>1980</v>
      </c>
      <c r="I292" s="1" t="s">
        <v>11</v>
      </c>
      <c r="J292" s="1" t="s">
        <v>33</v>
      </c>
      <c r="K292" s="1">
        <f>Table1[[#This Row],[Quantity]]*Table1[[#This Row],[Unit Price]]</f>
        <v>3960</v>
      </c>
    </row>
    <row r="293" spans="1:11" x14ac:dyDescent="0.4">
      <c r="A293" s="1" t="s">
        <v>386</v>
      </c>
      <c r="B293" s="3">
        <v>46250</v>
      </c>
      <c r="C293" s="1" t="s">
        <v>160</v>
      </c>
      <c r="D293" s="1" t="s">
        <v>8</v>
      </c>
      <c r="E293" s="1" t="s">
        <v>86</v>
      </c>
      <c r="F293" s="1" t="s">
        <v>89</v>
      </c>
      <c r="G293" s="1">
        <v>3</v>
      </c>
      <c r="H293" s="1">
        <v>700</v>
      </c>
      <c r="I293" s="1" t="s">
        <v>11</v>
      </c>
      <c r="J293" s="1" t="s">
        <v>37</v>
      </c>
      <c r="K293" s="1">
        <f>Table1[[#This Row],[Quantity]]*Table1[[#This Row],[Unit Price]]</f>
        <v>2100</v>
      </c>
    </row>
    <row r="294" spans="1:11" x14ac:dyDescent="0.4">
      <c r="A294" s="1" t="s">
        <v>387</v>
      </c>
      <c r="B294" s="3">
        <v>46231</v>
      </c>
      <c r="C294" s="1" t="s">
        <v>50</v>
      </c>
      <c r="D294" s="1" t="s">
        <v>25</v>
      </c>
      <c r="E294" s="1" t="s">
        <v>86</v>
      </c>
      <c r="F294" s="1" t="s">
        <v>93</v>
      </c>
      <c r="G294" s="1">
        <v>3</v>
      </c>
      <c r="H294" s="1">
        <v>1200</v>
      </c>
      <c r="I294" s="1" t="s">
        <v>36</v>
      </c>
      <c r="J294" s="1" t="s">
        <v>33</v>
      </c>
      <c r="K294" s="1">
        <f>Table1[[#This Row],[Quantity]]*Table1[[#This Row],[Unit Price]]</f>
        <v>3600</v>
      </c>
    </row>
    <row r="295" spans="1:11" x14ac:dyDescent="0.4">
      <c r="A295" s="1" t="s">
        <v>388</v>
      </c>
      <c r="B295" s="3">
        <v>46183</v>
      </c>
      <c r="C295" s="1" t="s">
        <v>32</v>
      </c>
      <c r="D295" s="1" t="s">
        <v>21</v>
      </c>
      <c r="E295" s="1" t="s">
        <v>16</v>
      </c>
      <c r="F295" s="1" t="s">
        <v>154</v>
      </c>
      <c r="G295" s="1">
        <v>6</v>
      </c>
      <c r="H295" s="1">
        <v>85.5</v>
      </c>
      <c r="I295" s="1" t="s">
        <v>11</v>
      </c>
      <c r="J295" s="1" t="s">
        <v>33</v>
      </c>
      <c r="K295" s="1">
        <f>Table1[[#This Row],[Quantity]]*Table1[[#This Row],[Unit Price]]</f>
        <v>513</v>
      </c>
    </row>
    <row r="296" spans="1:11" x14ac:dyDescent="0.4">
      <c r="A296" s="1" t="s">
        <v>389</v>
      </c>
      <c r="B296" s="3">
        <v>46165</v>
      </c>
      <c r="C296" s="1" t="s">
        <v>70</v>
      </c>
      <c r="D296" s="1" t="s">
        <v>8</v>
      </c>
      <c r="E296" s="1" t="s">
        <v>10</v>
      </c>
      <c r="F296" s="1" t="s">
        <v>59</v>
      </c>
      <c r="G296" s="1">
        <v>1</v>
      </c>
      <c r="H296" s="1">
        <v>1330</v>
      </c>
      <c r="I296" s="1" t="s">
        <v>19</v>
      </c>
      <c r="J296" s="1" t="s">
        <v>73</v>
      </c>
      <c r="K296" s="1">
        <f>Table1[[#This Row],[Quantity]]*Table1[[#This Row],[Unit Price]]</f>
        <v>1330</v>
      </c>
    </row>
    <row r="297" spans="1:11" x14ac:dyDescent="0.4">
      <c r="A297" s="1" t="s">
        <v>390</v>
      </c>
      <c r="B297" s="3">
        <v>46124</v>
      </c>
      <c r="C297" s="1" t="s">
        <v>47</v>
      </c>
      <c r="D297" s="1" t="s">
        <v>8</v>
      </c>
      <c r="E297" s="1" t="s">
        <v>86</v>
      </c>
      <c r="F297" s="1" t="s">
        <v>89</v>
      </c>
      <c r="G297" s="1">
        <v>2</v>
      </c>
      <c r="H297" s="1">
        <v>770</v>
      </c>
      <c r="I297" s="1" t="s">
        <v>19</v>
      </c>
      <c r="J297" s="1" t="s">
        <v>75</v>
      </c>
      <c r="K297" s="1">
        <f>Table1[[#This Row],[Quantity]]*Table1[[#This Row],[Unit Price]]</f>
        <v>1540</v>
      </c>
    </row>
    <row r="298" spans="1:11" x14ac:dyDescent="0.4">
      <c r="A298" s="1" t="s">
        <v>391</v>
      </c>
      <c r="B298" s="3">
        <v>46187</v>
      </c>
      <c r="C298" s="1" t="s">
        <v>58</v>
      </c>
      <c r="D298" s="1" t="s">
        <v>22</v>
      </c>
      <c r="E298" s="1" t="s">
        <v>23</v>
      </c>
      <c r="F298" s="1" t="s">
        <v>18</v>
      </c>
      <c r="G298" s="1">
        <v>4</v>
      </c>
      <c r="H298" s="1">
        <v>495</v>
      </c>
      <c r="I298" s="1" t="s">
        <v>19</v>
      </c>
      <c r="J298" s="1" t="s">
        <v>37</v>
      </c>
      <c r="K298" s="1">
        <f>Table1[[#This Row],[Quantity]]*Table1[[#This Row],[Unit Price]]</f>
        <v>1980</v>
      </c>
    </row>
    <row r="299" spans="1:11" x14ac:dyDescent="0.4">
      <c r="A299" s="1" t="s">
        <v>392</v>
      </c>
      <c r="B299" s="3">
        <v>46149</v>
      </c>
      <c r="C299" s="1" t="s">
        <v>32</v>
      </c>
      <c r="D299" s="1" t="s">
        <v>17</v>
      </c>
      <c r="E299" s="1" t="s">
        <v>23</v>
      </c>
      <c r="F299" s="1" t="s">
        <v>18</v>
      </c>
      <c r="G299" s="1">
        <v>2</v>
      </c>
      <c r="H299" s="1">
        <v>450</v>
      </c>
      <c r="I299" s="1" t="s">
        <v>74</v>
      </c>
      <c r="J299" s="1" t="s">
        <v>75</v>
      </c>
      <c r="K299" s="1">
        <f>Table1[[#This Row],[Quantity]]*Table1[[#This Row],[Unit Price]]</f>
        <v>900</v>
      </c>
    </row>
    <row r="300" spans="1:11" x14ac:dyDescent="0.4">
      <c r="A300" s="1" t="s">
        <v>393</v>
      </c>
      <c r="B300" s="3">
        <v>46239</v>
      </c>
      <c r="C300" s="1" t="s">
        <v>148</v>
      </c>
      <c r="D300" s="1" t="s">
        <v>22</v>
      </c>
      <c r="E300" s="1" t="s">
        <v>10</v>
      </c>
      <c r="F300" s="1" t="s">
        <v>20</v>
      </c>
      <c r="G300" s="1">
        <v>8</v>
      </c>
      <c r="H300" s="1">
        <v>315</v>
      </c>
      <c r="I300" s="1" t="s">
        <v>74</v>
      </c>
      <c r="J300" s="1" t="s">
        <v>81</v>
      </c>
      <c r="K300" s="1">
        <f>Table1[[#This Row],[Quantity]]*Table1[[#This Row],[Unit Price]]</f>
        <v>2520</v>
      </c>
    </row>
    <row r="301" spans="1:11" x14ac:dyDescent="0.4">
      <c r="A301" s="1" t="s">
        <v>394</v>
      </c>
      <c r="B301" s="3">
        <v>46151</v>
      </c>
      <c r="C301" s="1" t="s">
        <v>153</v>
      </c>
      <c r="D301" s="1" t="s">
        <v>14</v>
      </c>
      <c r="E301" s="1" t="s">
        <v>23</v>
      </c>
      <c r="F301" s="1" t="s">
        <v>98</v>
      </c>
      <c r="G301" s="1">
        <v>2</v>
      </c>
      <c r="H301" s="1">
        <v>660</v>
      </c>
      <c r="I301" s="1" t="s">
        <v>19</v>
      </c>
      <c r="J301" s="1" t="s">
        <v>37</v>
      </c>
      <c r="K301" s="1">
        <f>Table1[[#This Row],[Quantity]]*Table1[[#This Row],[Unit Price]]</f>
        <v>1320</v>
      </c>
    </row>
    <row r="302" spans="1:11" x14ac:dyDescent="0.4">
      <c r="A302" s="1" t="s">
        <v>395</v>
      </c>
      <c r="B302" s="3">
        <v>46294</v>
      </c>
      <c r="C302" s="1" t="s">
        <v>102</v>
      </c>
      <c r="D302" s="1" t="s">
        <v>21</v>
      </c>
      <c r="E302" s="1" t="s">
        <v>16</v>
      </c>
      <c r="F302" s="1" t="s">
        <v>45</v>
      </c>
      <c r="G302" s="1">
        <v>4</v>
      </c>
      <c r="H302" s="1">
        <v>76</v>
      </c>
      <c r="I302" s="1" t="s">
        <v>74</v>
      </c>
      <c r="J302" s="1" t="s">
        <v>75</v>
      </c>
      <c r="K302" s="1">
        <f>Table1[[#This Row],[Quantity]]*Table1[[#This Row],[Unit Price]]</f>
        <v>304</v>
      </c>
    </row>
    <row r="303" spans="1:11" x14ac:dyDescent="0.4">
      <c r="A303" s="1" t="s">
        <v>396</v>
      </c>
      <c r="B303" s="3">
        <v>46248</v>
      </c>
      <c r="C303" s="1" t="s">
        <v>47</v>
      </c>
      <c r="D303" s="1" t="s">
        <v>22</v>
      </c>
      <c r="E303" s="1" t="s">
        <v>16</v>
      </c>
      <c r="F303" s="1" t="s">
        <v>15</v>
      </c>
      <c r="G303" s="1">
        <v>2</v>
      </c>
      <c r="H303" s="1">
        <v>120</v>
      </c>
      <c r="I303" s="1" t="s">
        <v>11</v>
      </c>
      <c r="J303" s="1" t="s">
        <v>81</v>
      </c>
      <c r="K303" s="1">
        <f>Table1[[#This Row],[Quantity]]*Table1[[#This Row],[Unit Price]]</f>
        <v>240</v>
      </c>
    </row>
    <row r="304" spans="1:11" x14ac:dyDescent="0.4">
      <c r="A304" s="1" t="s">
        <v>397</v>
      </c>
      <c r="B304" s="3">
        <v>46207</v>
      </c>
      <c r="C304" s="1" t="s">
        <v>32</v>
      </c>
      <c r="D304" s="1" t="s">
        <v>12</v>
      </c>
      <c r="E304" s="1" t="s">
        <v>10</v>
      </c>
      <c r="F304" s="1" t="s">
        <v>68</v>
      </c>
      <c r="G304" s="1">
        <v>3</v>
      </c>
      <c r="H304" s="1">
        <v>2500</v>
      </c>
      <c r="I304" s="1" t="s">
        <v>74</v>
      </c>
      <c r="J304" s="1" t="s">
        <v>73</v>
      </c>
      <c r="K304" s="1">
        <f>Table1[[#This Row],[Quantity]]*Table1[[#This Row],[Unit Price]]</f>
        <v>7500</v>
      </c>
    </row>
    <row r="305" spans="1:11" x14ac:dyDescent="0.4">
      <c r="A305" s="1" t="s">
        <v>398</v>
      </c>
      <c r="B305" s="3">
        <v>46267</v>
      </c>
      <c r="C305" s="1" t="s">
        <v>148</v>
      </c>
      <c r="D305" s="1" t="s">
        <v>14</v>
      </c>
      <c r="E305" s="1" t="s">
        <v>10</v>
      </c>
      <c r="F305" s="1" t="s">
        <v>42</v>
      </c>
      <c r="G305" s="1">
        <v>5</v>
      </c>
      <c r="H305" s="1">
        <v>1800</v>
      </c>
      <c r="I305" s="1" t="s">
        <v>74</v>
      </c>
      <c r="J305" s="1" t="s">
        <v>33</v>
      </c>
      <c r="K305" s="1">
        <f>Table1[[#This Row],[Quantity]]*Table1[[#This Row],[Unit Price]]</f>
        <v>9000</v>
      </c>
    </row>
    <row r="306" spans="1:11" x14ac:dyDescent="0.4">
      <c r="A306" s="1" t="s">
        <v>399</v>
      </c>
      <c r="B306" s="3">
        <v>46198</v>
      </c>
      <c r="C306" s="1" t="s">
        <v>47</v>
      </c>
      <c r="D306" s="1" t="s">
        <v>14</v>
      </c>
      <c r="E306" s="1" t="s">
        <v>23</v>
      </c>
      <c r="F306" s="1" t="s">
        <v>98</v>
      </c>
      <c r="G306" s="1">
        <v>8</v>
      </c>
      <c r="H306" s="1">
        <v>570</v>
      </c>
      <c r="I306" s="1" t="s">
        <v>11</v>
      </c>
      <c r="J306" s="1" t="s">
        <v>73</v>
      </c>
      <c r="K306" s="1">
        <f>Table1[[#This Row],[Quantity]]*Table1[[#This Row],[Unit Price]]</f>
        <v>4560</v>
      </c>
    </row>
    <row r="307" spans="1:11" x14ac:dyDescent="0.4">
      <c r="A307" s="1" t="s">
        <v>400</v>
      </c>
      <c r="B307" s="3">
        <v>46235</v>
      </c>
      <c r="C307" s="1" t="s">
        <v>64</v>
      </c>
      <c r="D307" s="1" t="s">
        <v>14</v>
      </c>
      <c r="E307" s="1" t="s">
        <v>23</v>
      </c>
      <c r="F307" s="1" t="s">
        <v>48</v>
      </c>
      <c r="G307" s="1">
        <v>3</v>
      </c>
      <c r="H307" s="1">
        <v>950</v>
      </c>
      <c r="I307" s="1" t="s">
        <v>36</v>
      </c>
      <c r="J307" s="1" t="s">
        <v>37</v>
      </c>
      <c r="K307" s="1">
        <f>Table1[[#This Row],[Quantity]]*Table1[[#This Row],[Unit Price]]</f>
        <v>2850</v>
      </c>
    </row>
    <row r="308" spans="1:11" x14ac:dyDescent="0.4">
      <c r="A308" s="1" t="s">
        <v>401</v>
      </c>
      <c r="B308" s="3">
        <v>46210</v>
      </c>
      <c r="C308" s="1" t="s">
        <v>55</v>
      </c>
      <c r="D308" s="1" t="s">
        <v>12</v>
      </c>
      <c r="E308" s="1" t="s">
        <v>83</v>
      </c>
      <c r="F308" s="1" t="s">
        <v>84</v>
      </c>
      <c r="G308" s="1">
        <v>3</v>
      </c>
      <c r="H308" s="1">
        <v>300</v>
      </c>
      <c r="I308" s="1" t="s">
        <v>36</v>
      </c>
      <c r="J308" s="1" t="s">
        <v>75</v>
      </c>
      <c r="K308" s="1">
        <f>Table1[[#This Row],[Quantity]]*Table1[[#This Row],[Unit Price]]</f>
        <v>900</v>
      </c>
    </row>
    <row r="309" spans="1:11" x14ac:dyDescent="0.4">
      <c r="A309" s="1" t="s">
        <v>402</v>
      </c>
      <c r="B309" s="3">
        <v>46240</v>
      </c>
      <c r="C309" s="1" t="s">
        <v>95</v>
      </c>
      <c r="D309" s="1" t="s">
        <v>22</v>
      </c>
      <c r="E309" s="1" t="s">
        <v>83</v>
      </c>
      <c r="F309" s="1" t="s">
        <v>84</v>
      </c>
      <c r="G309" s="1">
        <v>1</v>
      </c>
      <c r="H309" s="1">
        <v>315</v>
      </c>
      <c r="I309" s="1" t="s">
        <v>19</v>
      </c>
      <c r="J309" s="1" t="s">
        <v>37</v>
      </c>
      <c r="K309" s="1">
        <f>Table1[[#This Row],[Quantity]]*Table1[[#This Row],[Unit Price]]</f>
        <v>315</v>
      </c>
    </row>
    <row r="310" spans="1:11" x14ac:dyDescent="0.4">
      <c r="A310" s="1" t="s">
        <v>403</v>
      </c>
      <c r="B310" s="3">
        <v>46193</v>
      </c>
      <c r="C310" s="1" t="s">
        <v>78</v>
      </c>
      <c r="D310" s="1" t="s">
        <v>17</v>
      </c>
      <c r="E310" s="1" t="s">
        <v>86</v>
      </c>
      <c r="F310" s="1" t="s">
        <v>112</v>
      </c>
      <c r="G310" s="1">
        <v>1</v>
      </c>
      <c r="H310" s="1">
        <v>900</v>
      </c>
      <c r="I310" s="1" t="s">
        <v>11</v>
      </c>
      <c r="J310" s="1" t="s">
        <v>37</v>
      </c>
      <c r="K310" s="1">
        <f>Table1[[#This Row],[Quantity]]*Table1[[#This Row],[Unit Price]]</f>
        <v>900</v>
      </c>
    </row>
    <row r="311" spans="1:11" x14ac:dyDescent="0.4">
      <c r="A311" s="1" t="s">
        <v>404</v>
      </c>
      <c r="B311" s="3">
        <v>46254</v>
      </c>
      <c r="C311" s="1" t="s">
        <v>58</v>
      </c>
      <c r="D311" s="1" t="s">
        <v>14</v>
      </c>
      <c r="E311" s="1" t="s">
        <v>86</v>
      </c>
      <c r="F311" s="1" t="s">
        <v>112</v>
      </c>
      <c r="G311" s="1">
        <v>2</v>
      </c>
      <c r="H311" s="1">
        <v>900</v>
      </c>
      <c r="I311" s="1" t="s">
        <v>74</v>
      </c>
      <c r="J311" s="1" t="s">
        <v>75</v>
      </c>
      <c r="K311" s="1">
        <f>Table1[[#This Row],[Quantity]]*Table1[[#This Row],[Unit Price]]</f>
        <v>1800</v>
      </c>
    </row>
    <row r="312" spans="1:11" x14ac:dyDescent="0.4">
      <c r="A312" s="1" t="s">
        <v>405</v>
      </c>
      <c r="B312" s="3">
        <v>46175</v>
      </c>
      <c r="C312" s="1" t="s">
        <v>52</v>
      </c>
      <c r="D312" s="1" t="s">
        <v>25</v>
      </c>
      <c r="E312" s="1" t="s">
        <v>83</v>
      </c>
      <c r="F312" s="1" t="s">
        <v>91</v>
      </c>
      <c r="G312" s="1">
        <v>3</v>
      </c>
      <c r="H312" s="1">
        <v>250</v>
      </c>
      <c r="I312" s="1" t="s">
        <v>74</v>
      </c>
      <c r="J312" s="1" t="s">
        <v>81</v>
      </c>
      <c r="K312" s="1">
        <f>Table1[[#This Row],[Quantity]]*Table1[[#This Row],[Unit Price]]</f>
        <v>750</v>
      </c>
    </row>
    <row r="313" spans="1:11" x14ac:dyDescent="0.4">
      <c r="A313" s="1" t="s">
        <v>406</v>
      </c>
      <c r="B313" s="3">
        <v>46156</v>
      </c>
      <c r="C313" s="1" t="s">
        <v>153</v>
      </c>
      <c r="D313" s="1" t="s">
        <v>17</v>
      </c>
      <c r="E313" s="1" t="s">
        <v>79</v>
      </c>
      <c r="F313" s="1" t="s">
        <v>80</v>
      </c>
      <c r="G313" s="1">
        <v>1</v>
      </c>
      <c r="H313" s="1">
        <v>550</v>
      </c>
      <c r="I313" s="1" t="s">
        <v>11</v>
      </c>
      <c r="J313" s="1" t="s">
        <v>75</v>
      </c>
      <c r="K313" s="1">
        <f>Table1[[#This Row],[Quantity]]*Table1[[#This Row],[Unit Price]]</f>
        <v>550</v>
      </c>
    </row>
    <row r="314" spans="1:11" x14ac:dyDescent="0.4">
      <c r="A314" s="1" t="s">
        <v>407</v>
      </c>
      <c r="B314" s="3">
        <v>46121</v>
      </c>
      <c r="C314" s="1" t="s">
        <v>95</v>
      </c>
      <c r="D314" s="1" t="s">
        <v>8</v>
      </c>
      <c r="E314" s="1" t="s">
        <v>10</v>
      </c>
      <c r="F314" s="1" t="s">
        <v>59</v>
      </c>
      <c r="G314" s="1">
        <v>6</v>
      </c>
      <c r="H314" s="1">
        <v>1330</v>
      </c>
      <c r="I314" s="1" t="s">
        <v>74</v>
      </c>
      <c r="J314" s="1" t="s">
        <v>33</v>
      </c>
      <c r="K314" s="1">
        <f>Table1[[#This Row],[Quantity]]*Table1[[#This Row],[Unit Price]]</f>
        <v>7980</v>
      </c>
    </row>
    <row r="315" spans="1:11" x14ac:dyDescent="0.4">
      <c r="A315" s="1" t="s">
        <v>408</v>
      </c>
      <c r="B315" s="3">
        <v>46274</v>
      </c>
      <c r="C315" s="1" t="s">
        <v>29</v>
      </c>
      <c r="D315" s="1" t="s">
        <v>14</v>
      </c>
      <c r="E315" s="1" t="s">
        <v>23</v>
      </c>
      <c r="F315" s="1" t="s">
        <v>18</v>
      </c>
      <c r="G315" s="1">
        <v>1</v>
      </c>
      <c r="H315" s="1">
        <v>450</v>
      </c>
      <c r="I315" s="1" t="s">
        <v>74</v>
      </c>
      <c r="J315" s="1" t="s">
        <v>37</v>
      </c>
      <c r="K315" s="1">
        <f>Table1[[#This Row],[Quantity]]*Table1[[#This Row],[Unit Price]]</f>
        <v>450</v>
      </c>
    </row>
    <row r="316" spans="1:11" x14ac:dyDescent="0.4">
      <c r="A316" s="1" t="s">
        <v>409</v>
      </c>
      <c r="B316" s="3">
        <v>46128</v>
      </c>
      <c r="C316" s="1" t="s">
        <v>29</v>
      </c>
      <c r="D316" s="1" t="s">
        <v>21</v>
      </c>
      <c r="E316" s="1" t="s">
        <v>83</v>
      </c>
      <c r="F316" s="1" t="s">
        <v>122</v>
      </c>
      <c r="G316" s="1">
        <v>3</v>
      </c>
      <c r="H316" s="1">
        <v>807.5</v>
      </c>
      <c r="I316" s="1" t="s">
        <v>11</v>
      </c>
      <c r="J316" s="1" t="s">
        <v>30</v>
      </c>
      <c r="K316" s="1">
        <f>Table1[[#This Row],[Quantity]]*Table1[[#This Row],[Unit Price]]</f>
        <v>2422.5</v>
      </c>
    </row>
    <row r="317" spans="1:11" x14ac:dyDescent="0.4">
      <c r="A317" s="1" t="s">
        <v>410</v>
      </c>
      <c r="B317" s="3">
        <v>46248</v>
      </c>
      <c r="C317" s="1" t="s">
        <v>29</v>
      </c>
      <c r="D317" s="1" t="s">
        <v>21</v>
      </c>
      <c r="E317" s="1" t="s">
        <v>23</v>
      </c>
      <c r="F317" s="1" t="s">
        <v>62</v>
      </c>
      <c r="G317" s="1">
        <v>3</v>
      </c>
      <c r="H317" s="1">
        <v>700</v>
      </c>
      <c r="I317" s="1" t="s">
        <v>19</v>
      </c>
      <c r="J317" s="1" t="s">
        <v>30</v>
      </c>
      <c r="K317" s="1">
        <f>Table1[[#This Row],[Quantity]]*Table1[[#This Row],[Unit Price]]</f>
        <v>2100</v>
      </c>
    </row>
    <row r="318" spans="1:11" x14ac:dyDescent="0.4">
      <c r="A318" s="1" t="s">
        <v>411</v>
      </c>
      <c r="B318" s="3">
        <v>46137</v>
      </c>
      <c r="C318" s="1" t="s">
        <v>202</v>
      </c>
      <c r="D318" s="1" t="s">
        <v>12</v>
      </c>
      <c r="E318" s="1" t="s">
        <v>16</v>
      </c>
      <c r="F318" s="1" t="s">
        <v>45</v>
      </c>
      <c r="G318" s="1">
        <v>1</v>
      </c>
      <c r="H318" s="1">
        <v>88</v>
      </c>
      <c r="I318" s="1" t="s">
        <v>36</v>
      </c>
      <c r="J318" s="1" t="s">
        <v>37</v>
      </c>
      <c r="K318" s="1">
        <f>Table1[[#This Row],[Quantity]]*Table1[[#This Row],[Unit Price]]</f>
        <v>88</v>
      </c>
    </row>
    <row r="319" spans="1:11" x14ac:dyDescent="0.4">
      <c r="A319" s="1" t="s">
        <v>412</v>
      </c>
      <c r="B319" s="3">
        <v>46214</v>
      </c>
      <c r="C319" s="1" t="s">
        <v>70</v>
      </c>
      <c r="D319" s="1" t="s">
        <v>14</v>
      </c>
      <c r="E319" s="1" t="s">
        <v>10</v>
      </c>
      <c r="F319" s="1" t="s">
        <v>68</v>
      </c>
      <c r="G319" s="1">
        <v>2</v>
      </c>
      <c r="H319" s="1">
        <v>2625</v>
      </c>
      <c r="I319" s="1" t="s">
        <v>19</v>
      </c>
      <c r="J319" s="1" t="s">
        <v>37</v>
      </c>
      <c r="K319" s="1">
        <f>Table1[[#This Row],[Quantity]]*Table1[[#This Row],[Unit Price]]</f>
        <v>5250</v>
      </c>
    </row>
    <row r="320" spans="1:11" x14ac:dyDescent="0.4">
      <c r="A320" s="1" t="s">
        <v>413</v>
      </c>
      <c r="B320" s="3">
        <v>46288</v>
      </c>
      <c r="C320" s="1" t="s">
        <v>35</v>
      </c>
      <c r="D320" s="1" t="s">
        <v>21</v>
      </c>
      <c r="E320" s="1" t="s">
        <v>10</v>
      </c>
      <c r="F320" s="1" t="s">
        <v>68</v>
      </c>
      <c r="G320" s="1">
        <v>3</v>
      </c>
      <c r="H320" s="1">
        <v>2375</v>
      </c>
      <c r="I320" s="1" t="s">
        <v>74</v>
      </c>
      <c r="J320" s="1" t="s">
        <v>81</v>
      </c>
      <c r="K320" s="1">
        <f>Table1[[#This Row],[Quantity]]*Table1[[#This Row],[Unit Price]]</f>
        <v>7125</v>
      </c>
    </row>
    <row r="321" spans="1:11" x14ac:dyDescent="0.4">
      <c r="A321" s="1" t="s">
        <v>414</v>
      </c>
      <c r="B321" s="3">
        <v>46254</v>
      </c>
      <c r="C321" s="1" t="s">
        <v>76</v>
      </c>
      <c r="D321" s="1" t="s">
        <v>17</v>
      </c>
      <c r="E321" s="1" t="s">
        <v>83</v>
      </c>
      <c r="F321" s="1" t="s">
        <v>122</v>
      </c>
      <c r="G321" s="1">
        <v>1</v>
      </c>
      <c r="H321" s="1">
        <v>807.5</v>
      </c>
      <c r="I321" s="1" t="s">
        <v>11</v>
      </c>
      <c r="J321" s="1" t="s">
        <v>81</v>
      </c>
      <c r="K321" s="1">
        <f>Table1[[#This Row],[Quantity]]*Table1[[#This Row],[Unit Price]]</f>
        <v>807.5</v>
      </c>
    </row>
    <row r="322" spans="1:11" x14ac:dyDescent="0.4">
      <c r="A322" s="1" t="s">
        <v>415</v>
      </c>
      <c r="B322" s="3">
        <v>46224</v>
      </c>
      <c r="C322" s="1" t="s">
        <v>82</v>
      </c>
      <c r="D322" s="1" t="s">
        <v>8</v>
      </c>
      <c r="E322" s="1" t="s">
        <v>79</v>
      </c>
      <c r="F322" s="1" t="s">
        <v>107</v>
      </c>
      <c r="G322" s="1">
        <v>3</v>
      </c>
      <c r="H322" s="1">
        <v>1710</v>
      </c>
      <c r="I322" s="1" t="s">
        <v>19</v>
      </c>
      <c r="J322" s="1" t="s">
        <v>33</v>
      </c>
      <c r="K322" s="1">
        <f>Table1[[#This Row],[Quantity]]*Table1[[#This Row],[Unit Price]]</f>
        <v>5130</v>
      </c>
    </row>
    <row r="323" spans="1:11" x14ac:dyDescent="0.4">
      <c r="A323" s="1" t="s">
        <v>416</v>
      </c>
      <c r="B323" s="3">
        <v>46290</v>
      </c>
      <c r="C323" s="1" t="s">
        <v>111</v>
      </c>
      <c r="D323" s="1" t="s">
        <v>12</v>
      </c>
      <c r="E323" s="1" t="s">
        <v>83</v>
      </c>
      <c r="F323" s="1" t="s">
        <v>122</v>
      </c>
      <c r="G323" s="1">
        <v>1</v>
      </c>
      <c r="H323" s="1">
        <v>807.5</v>
      </c>
      <c r="I323" s="1" t="s">
        <v>11</v>
      </c>
      <c r="J323" s="1" t="s">
        <v>33</v>
      </c>
      <c r="K323" s="1">
        <f>Table1[[#This Row],[Quantity]]*Table1[[#This Row],[Unit Price]]</f>
        <v>807.5</v>
      </c>
    </row>
    <row r="324" spans="1:11" x14ac:dyDescent="0.4">
      <c r="A324" s="1" t="s">
        <v>417</v>
      </c>
      <c r="B324" s="3">
        <v>46193</v>
      </c>
      <c r="C324" s="1" t="s">
        <v>41</v>
      </c>
      <c r="D324" s="1" t="s">
        <v>21</v>
      </c>
      <c r="E324" s="1" t="s">
        <v>10</v>
      </c>
      <c r="F324" s="1" t="s">
        <v>13</v>
      </c>
      <c r="G324" s="1">
        <v>8</v>
      </c>
      <c r="H324" s="1">
        <v>1320</v>
      </c>
      <c r="I324" s="1" t="s">
        <v>11</v>
      </c>
      <c r="J324" s="1" t="s">
        <v>37</v>
      </c>
      <c r="K324" s="1">
        <f>Table1[[#This Row],[Quantity]]*Table1[[#This Row],[Unit Price]]</f>
        <v>10560</v>
      </c>
    </row>
    <row r="325" spans="1:11" x14ac:dyDescent="0.4">
      <c r="A325" s="1" t="s">
        <v>418</v>
      </c>
      <c r="B325" s="3">
        <v>46154</v>
      </c>
      <c r="C325" s="1" t="s">
        <v>111</v>
      </c>
      <c r="D325" s="1" t="s">
        <v>22</v>
      </c>
      <c r="E325" s="1" t="s">
        <v>23</v>
      </c>
      <c r="F325" s="1" t="s">
        <v>48</v>
      </c>
      <c r="G325" s="1">
        <v>3</v>
      </c>
      <c r="H325" s="1">
        <v>997.5</v>
      </c>
      <c r="I325" s="1" t="s">
        <v>74</v>
      </c>
      <c r="J325" s="1" t="s">
        <v>73</v>
      </c>
      <c r="K325" s="1">
        <f>Table1[[#This Row],[Quantity]]*Table1[[#This Row],[Unit Price]]</f>
        <v>2992.5</v>
      </c>
    </row>
    <row r="326" spans="1:11" x14ac:dyDescent="0.4">
      <c r="A326" s="1" t="s">
        <v>419</v>
      </c>
      <c r="B326" s="3">
        <v>46148</v>
      </c>
      <c r="C326" s="1" t="s">
        <v>32</v>
      </c>
      <c r="D326" s="1" t="s">
        <v>24</v>
      </c>
      <c r="E326" s="1" t="s">
        <v>10</v>
      </c>
      <c r="F326" s="1" t="s">
        <v>68</v>
      </c>
      <c r="G326" s="1">
        <v>2</v>
      </c>
      <c r="H326" s="1">
        <v>2500</v>
      </c>
      <c r="I326" s="1" t="s">
        <v>74</v>
      </c>
      <c r="J326" s="1" t="s">
        <v>33</v>
      </c>
      <c r="K326" s="1">
        <f>Table1[[#This Row],[Quantity]]*Table1[[#This Row],[Unit Price]]</f>
        <v>5000</v>
      </c>
    </row>
    <row r="327" spans="1:11" x14ac:dyDescent="0.4">
      <c r="A327" s="1" t="s">
        <v>420</v>
      </c>
      <c r="B327" s="3">
        <v>46132</v>
      </c>
      <c r="C327" s="1" t="s">
        <v>85</v>
      </c>
      <c r="D327" s="1" t="s">
        <v>21</v>
      </c>
      <c r="E327" s="1" t="s">
        <v>79</v>
      </c>
      <c r="F327" s="1" t="s">
        <v>107</v>
      </c>
      <c r="G327" s="1">
        <v>3</v>
      </c>
      <c r="H327" s="1">
        <v>1980</v>
      </c>
      <c r="I327" s="1" t="s">
        <v>36</v>
      </c>
      <c r="J327" s="1" t="s">
        <v>30</v>
      </c>
      <c r="K327" s="1">
        <f>Table1[[#This Row],[Quantity]]*Table1[[#This Row],[Unit Price]]</f>
        <v>5940</v>
      </c>
    </row>
    <row r="328" spans="1:11" x14ac:dyDescent="0.4">
      <c r="A328" s="1" t="s">
        <v>421</v>
      </c>
      <c r="B328" s="3">
        <v>46275</v>
      </c>
      <c r="C328" s="1" t="s">
        <v>153</v>
      </c>
      <c r="D328" s="1" t="s">
        <v>14</v>
      </c>
      <c r="E328" s="1" t="s">
        <v>23</v>
      </c>
      <c r="F328" s="1" t="s">
        <v>62</v>
      </c>
      <c r="G328" s="1">
        <v>4</v>
      </c>
      <c r="H328" s="1">
        <v>735</v>
      </c>
      <c r="I328" s="1" t="s">
        <v>36</v>
      </c>
      <c r="J328" s="1" t="s">
        <v>75</v>
      </c>
      <c r="K328" s="1">
        <f>Table1[[#This Row],[Quantity]]*Table1[[#This Row],[Unit Price]]</f>
        <v>2940</v>
      </c>
    </row>
    <row r="329" spans="1:11" x14ac:dyDescent="0.4">
      <c r="A329" s="1" t="s">
        <v>422</v>
      </c>
      <c r="B329" s="3">
        <v>46209</v>
      </c>
      <c r="C329" s="1" t="s">
        <v>111</v>
      </c>
      <c r="D329" s="1" t="s">
        <v>21</v>
      </c>
      <c r="E329" s="1" t="s">
        <v>86</v>
      </c>
      <c r="F329" s="1" t="s">
        <v>93</v>
      </c>
      <c r="G329" s="1">
        <v>1</v>
      </c>
      <c r="H329" s="1">
        <v>1320</v>
      </c>
      <c r="I329" s="1" t="s">
        <v>11</v>
      </c>
      <c r="J329" s="1" t="s">
        <v>75</v>
      </c>
      <c r="K329" s="1">
        <f>Table1[[#This Row],[Quantity]]*Table1[[#This Row],[Unit Price]]</f>
        <v>1320</v>
      </c>
    </row>
    <row r="330" spans="1:11" x14ac:dyDescent="0.4">
      <c r="A330" s="1" t="s">
        <v>423</v>
      </c>
      <c r="B330" s="3">
        <v>46188</v>
      </c>
      <c r="C330" s="1" t="s">
        <v>52</v>
      </c>
      <c r="D330" s="1" t="s">
        <v>17</v>
      </c>
      <c r="E330" s="1" t="s">
        <v>23</v>
      </c>
      <c r="F330" s="1" t="s">
        <v>48</v>
      </c>
      <c r="G330" s="1">
        <v>4</v>
      </c>
      <c r="H330" s="1">
        <v>902.5</v>
      </c>
      <c r="I330" s="1" t="s">
        <v>74</v>
      </c>
      <c r="J330" s="1" t="s">
        <v>73</v>
      </c>
      <c r="K330" s="1">
        <f>Table1[[#This Row],[Quantity]]*Table1[[#This Row],[Unit Price]]</f>
        <v>3610</v>
      </c>
    </row>
    <row r="331" spans="1:11" x14ac:dyDescent="0.4">
      <c r="A331" s="1" t="s">
        <v>424</v>
      </c>
      <c r="B331" s="3">
        <v>46275</v>
      </c>
      <c r="C331" s="1" t="s">
        <v>61</v>
      </c>
      <c r="D331" s="1" t="s">
        <v>24</v>
      </c>
      <c r="E331" s="1" t="s">
        <v>16</v>
      </c>
      <c r="F331" s="1" t="s">
        <v>45</v>
      </c>
      <c r="G331" s="1">
        <v>4</v>
      </c>
      <c r="H331" s="1">
        <v>80</v>
      </c>
      <c r="I331" s="1" t="s">
        <v>11</v>
      </c>
      <c r="J331" s="1" t="s">
        <v>30</v>
      </c>
      <c r="K331" s="1">
        <f>Table1[[#This Row],[Quantity]]*Table1[[#This Row],[Unit Price]]</f>
        <v>320</v>
      </c>
    </row>
    <row r="332" spans="1:11" x14ac:dyDescent="0.4">
      <c r="A332" s="1" t="s">
        <v>425</v>
      </c>
      <c r="B332" s="3">
        <v>46191</v>
      </c>
      <c r="C332" s="1" t="s">
        <v>39</v>
      </c>
      <c r="D332" s="1" t="s">
        <v>17</v>
      </c>
      <c r="E332" s="1" t="s">
        <v>83</v>
      </c>
      <c r="F332" s="1" t="s">
        <v>129</v>
      </c>
      <c r="G332" s="1">
        <v>2</v>
      </c>
      <c r="H332" s="1">
        <v>450</v>
      </c>
      <c r="I332" s="1" t="s">
        <v>11</v>
      </c>
      <c r="J332" s="1" t="s">
        <v>33</v>
      </c>
      <c r="K332" s="1">
        <f>Table1[[#This Row],[Quantity]]*Table1[[#This Row],[Unit Price]]</f>
        <v>900</v>
      </c>
    </row>
    <row r="333" spans="1:11" x14ac:dyDescent="0.4">
      <c r="A333" s="1" t="s">
        <v>426</v>
      </c>
      <c r="B333" s="3">
        <v>46223</v>
      </c>
      <c r="C333" s="1" t="s">
        <v>67</v>
      </c>
      <c r="D333" s="1" t="s">
        <v>24</v>
      </c>
      <c r="E333" s="1" t="s">
        <v>83</v>
      </c>
      <c r="F333" s="1" t="s">
        <v>129</v>
      </c>
      <c r="G333" s="1">
        <v>3</v>
      </c>
      <c r="H333" s="1">
        <v>495</v>
      </c>
      <c r="I333" s="1" t="s">
        <v>11</v>
      </c>
      <c r="J333" s="1" t="s">
        <v>30</v>
      </c>
      <c r="K333" s="1">
        <f>Table1[[#This Row],[Quantity]]*Table1[[#This Row],[Unit Price]]</f>
        <v>1485</v>
      </c>
    </row>
    <row r="334" spans="1:11" x14ac:dyDescent="0.4">
      <c r="A334" s="1" t="s">
        <v>427</v>
      </c>
      <c r="B334" s="3">
        <v>46203</v>
      </c>
      <c r="C334" s="1" t="s">
        <v>90</v>
      </c>
      <c r="D334" s="1" t="s">
        <v>21</v>
      </c>
      <c r="E334" s="1" t="s">
        <v>10</v>
      </c>
      <c r="F334" s="1" t="s">
        <v>68</v>
      </c>
      <c r="G334" s="1">
        <v>3</v>
      </c>
      <c r="H334" s="1">
        <v>2500</v>
      </c>
      <c r="I334" s="1" t="s">
        <v>11</v>
      </c>
      <c r="J334" s="1" t="s">
        <v>37</v>
      </c>
      <c r="K334" s="1">
        <f>Table1[[#This Row],[Quantity]]*Table1[[#This Row],[Unit Price]]</f>
        <v>7500</v>
      </c>
    </row>
    <row r="335" spans="1:11" x14ac:dyDescent="0.4">
      <c r="A335" s="1" t="s">
        <v>428</v>
      </c>
      <c r="B335" s="3">
        <v>46218</v>
      </c>
      <c r="C335" s="1" t="s">
        <v>82</v>
      </c>
      <c r="D335" s="1" t="s">
        <v>14</v>
      </c>
      <c r="E335" s="1" t="s">
        <v>86</v>
      </c>
      <c r="F335" s="1" t="s">
        <v>87</v>
      </c>
      <c r="G335" s="1">
        <v>4</v>
      </c>
      <c r="H335" s="1">
        <v>1980</v>
      </c>
      <c r="I335" s="1" t="s">
        <v>19</v>
      </c>
      <c r="J335" s="1" t="s">
        <v>73</v>
      </c>
      <c r="K335" s="1">
        <f>Table1[[#This Row],[Quantity]]*Table1[[#This Row],[Unit Price]]</f>
        <v>7920</v>
      </c>
    </row>
    <row r="336" spans="1:11" x14ac:dyDescent="0.4">
      <c r="A336" s="1" t="s">
        <v>429</v>
      </c>
      <c r="B336" s="3">
        <v>46210</v>
      </c>
      <c r="C336" s="1" t="s">
        <v>52</v>
      </c>
      <c r="D336" s="1" t="s">
        <v>25</v>
      </c>
      <c r="E336" s="1" t="s">
        <v>16</v>
      </c>
      <c r="F336" s="1" t="s">
        <v>56</v>
      </c>
      <c r="G336" s="1">
        <v>1</v>
      </c>
      <c r="H336" s="1">
        <v>200</v>
      </c>
      <c r="I336" s="1" t="s">
        <v>19</v>
      </c>
      <c r="J336" s="1" t="s">
        <v>30</v>
      </c>
      <c r="K336" s="1">
        <f>Table1[[#This Row],[Quantity]]*Table1[[#This Row],[Unit Price]]</f>
        <v>200</v>
      </c>
    </row>
    <row r="337" spans="1:11" x14ac:dyDescent="0.4">
      <c r="A337" s="1" t="s">
        <v>430</v>
      </c>
      <c r="B337" s="3">
        <v>46155</v>
      </c>
      <c r="C337" s="1" t="s">
        <v>153</v>
      </c>
      <c r="D337" s="1" t="s">
        <v>24</v>
      </c>
      <c r="E337" s="1" t="s">
        <v>86</v>
      </c>
      <c r="F337" s="1" t="s">
        <v>93</v>
      </c>
      <c r="G337" s="1">
        <v>1</v>
      </c>
      <c r="H337" s="1">
        <v>1200</v>
      </c>
      <c r="I337" s="1" t="s">
        <v>36</v>
      </c>
      <c r="J337" s="1" t="s">
        <v>37</v>
      </c>
      <c r="K337" s="1">
        <f>Table1[[#This Row],[Quantity]]*Table1[[#This Row],[Unit Price]]</f>
        <v>1200</v>
      </c>
    </row>
    <row r="338" spans="1:11" x14ac:dyDescent="0.4">
      <c r="A338" s="1" t="s">
        <v>431</v>
      </c>
      <c r="B338" s="3">
        <v>46176</v>
      </c>
      <c r="C338" s="1" t="s">
        <v>70</v>
      </c>
      <c r="D338" s="1" t="s">
        <v>24</v>
      </c>
      <c r="E338" s="1" t="s">
        <v>83</v>
      </c>
      <c r="F338" s="1" t="s">
        <v>91</v>
      </c>
      <c r="G338" s="1">
        <v>3</v>
      </c>
      <c r="H338" s="1">
        <v>250</v>
      </c>
      <c r="I338" s="1" t="s">
        <v>19</v>
      </c>
      <c r="J338" s="1" t="s">
        <v>37</v>
      </c>
      <c r="K338" s="1">
        <f>Table1[[#This Row],[Quantity]]*Table1[[#This Row],[Unit Price]]</f>
        <v>750</v>
      </c>
    </row>
    <row r="339" spans="1:11" x14ac:dyDescent="0.4">
      <c r="A339" s="1" t="s">
        <v>432</v>
      </c>
      <c r="B339" s="3">
        <v>46114</v>
      </c>
      <c r="C339" s="1" t="s">
        <v>64</v>
      </c>
      <c r="D339" s="1" t="s">
        <v>22</v>
      </c>
      <c r="E339" s="1" t="s">
        <v>86</v>
      </c>
      <c r="F339" s="1" t="s">
        <v>89</v>
      </c>
      <c r="G339" s="1">
        <v>2</v>
      </c>
      <c r="H339" s="1">
        <v>770</v>
      </c>
      <c r="I339" s="1" t="s">
        <v>74</v>
      </c>
      <c r="J339" s="1" t="s">
        <v>37</v>
      </c>
      <c r="K339" s="1">
        <f>Table1[[#This Row],[Quantity]]*Table1[[#This Row],[Unit Price]]</f>
        <v>1540</v>
      </c>
    </row>
    <row r="340" spans="1:11" x14ac:dyDescent="0.4">
      <c r="A340" s="1" t="s">
        <v>433</v>
      </c>
      <c r="B340" s="3">
        <v>46223</v>
      </c>
      <c r="C340" s="1" t="s">
        <v>76</v>
      </c>
      <c r="D340" s="1" t="s">
        <v>14</v>
      </c>
      <c r="E340" s="1" t="s">
        <v>16</v>
      </c>
      <c r="F340" s="1" t="s">
        <v>15</v>
      </c>
      <c r="G340" s="1">
        <v>2</v>
      </c>
      <c r="H340" s="1">
        <v>132</v>
      </c>
      <c r="I340" s="1" t="s">
        <v>74</v>
      </c>
      <c r="J340" s="1" t="s">
        <v>37</v>
      </c>
      <c r="K340" s="1">
        <f>Table1[[#This Row],[Quantity]]*Table1[[#This Row],[Unit Price]]</f>
        <v>264</v>
      </c>
    </row>
    <row r="341" spans="1:11" x14ac:dyDescent="0.4">
      <c r="A341" s="1" t="s">
        <v>434</v>
      </c>
      <c r="B341" s="3">
        <v>46158</v>
      </c>
      <c r="C341" s="1" t="s">
        <v>78</v>
      </c>
      <c r="D341" s="1" t="s">
        <v>25</v>
      </c>
      <c r="E341" s="1" t="s">
        <v>86</v>
      </c>
      <c r="F341" s="1" t="s">
        <v>89</v>
      </c>
      <c r="G341" s="1">
        <v>8</v>
      </c>
      <c r="H341" s="1">
        <v>700</v>
      </c>
      <c r="I341" s="1" t="s">
        <v>19</v>
      </c>
      <c r="J341" s="1" t="s">
        <v>37</v>
      </c>
      <c r="K341" s="1">
        <f>Table1[[#This Row],[Quantity]]*Table1[[#This Row],[Unit Price]]</f>
        <v>5600</v>
      </c>
    </row>
    <row r="342" spans="1:11" x14ac:dyDescent="0.4">
      <c r="A342" s="1" t="s">
        <v>435</v>
      </c>
      <c r="B342" s="3">
        <v>46209</v>
      </c>
      <c r="C342" s="1" t="s">
        <v>61</v>
      </c>
      <c r="D342" s="1" t="s">
        <v>24</v>
      </c>
      <c r="E342" s="1" t="s">
        <v>23</v>
      </c>
      <c r="F342" s="1" t="s">
        <v>62</v>
      </c>
      <c r="G342" s="1">
        <v>4</v>
      </c>
      <c r="H342" s="1">
        <v>735</v>
      </c>
      <c r="I342" s="1" t="s">
        <v>19</v>
      </c>
      <c r="J342" s="1" t="s">
        <v>75</v>
      </c>
      <c r="K342" s="1">
        <f>Table1[[#This Row],[Quantity]]*Table1[[#This Row],[Unit Price]]</f>
        <v>2940</v>
      </c>
    </row>
    <row r="343" spans="1:11" x14ac:dyDescent="0.4">
      <c r="A343" s="1" t="s">
        <v>436</v>
      </c>
      <c r="B343" s="3">
        <v>46252</v>
      </c>
      <c r="C343" s="1" t="s">
        <v>29</v>
      </c>
      <c r="D343" s="1" t="s">
        <v>25</v>
      </c>
      <c r="E343" s="1" t="s">
        <v>16</v>
      </c>
      <c r="F343" s="1" t="s">
        <v>65</v>
      </c>
      <c r="G343" s="1">
        <v>3</v>
      </c>
      <c r="H343" s="1">
        <v>165</v>
      </c>
      <c r="I343" s="1" t="s">
        <v>19</v>
      </c>
      <c r="J343" s="1" t="s">
        <v>81</v>
      </c>
      <c r="K343" s="1">
        <f>Table1[[#This Row],[Quantity]]*Table1[[#This Row],[Unit Price]]</f>
        <v>495</v>
      </c>
    </row>
    <row r="344" spans="1:11" x14ac:dyDescent="0.4">
      <c r="A344" s="1" t="s">
        <v>437</v>
      </c>
      <c r="B344" s="3">
        <v>46187</v>
      </c>
      <c r="C344" s="1" t="s">
        <v>111</v>
      </c>
      <c r="D344" s="1" t="s">
        <v>25</v>
      </c>
      <c r="E344" s="1" t="s">
        <v>10</v>
      </c>
      <c r="F344" s="1" t="s">
        <v>59</v>
      </c>
      <c r="G344" s="1">
        <v>4</v>
      </c>
      <c r="H344" s="1">
        <v>1470</v>
      </c>
      <c r="I344" s="1" t="s">
        <v>19</v>
      </c>
      <c r="J344" s="1" t="s">
        <v>73</v>
      </c>
      <c r="K344" s="1">
        <f>Table1[[#This Row],[Quantity]]*Table1[[#This Row],[Unit Price]]</f>
        <v>5880</v>
      </c>
    </row>
    <row r="345" spans="1:11" x14ac:dyDescent="0.4">
      <c r="A345" s="1" t="s">
        <v>438</v>
      </c>
      <c r="B345" s="3">
        <v>46190</v>
      </c>
      <c r="C345" s="1" t="s">
        <v>76</v>
      </c>
      <c r="D345" s="1" t="s">
        <v>21</v>
      </c>
      <c r="E345" s="1" t="s">
        <v>23</v>
      </c>
      <c r="F345" s="1" t="s">
        <v>48</v>
      </c>
      <c r="G345" s="1">
        <v>1</v>
      </c>
      <c r="H345" s="1">
        <v>950</v>
      </c>
      <c r="I345" s="1" t="s">
        <v>74</v>
      </c>
      <c r="J345" s="1" t="s">
        <v>30</v>
      </c>
      <c r="K345" s="1">
        <f>Table1[[#This Row],[Quantity]]*Table1[[#This Row],[Unit Price]]</f>
        <v>950</v>
      </c>
    </row>
    <row r="346" spans="1:11" x14ac:dyDescent="0.4">
      <c r="A346" s="1" t="s">
        <v>439</v>
      </c>
      <c r="B346" s="3">
        <v>46227</v>
      </c>
      <c r="C346" s="1" t="s">
        <v>202</v>
      </c>
      <c r="D346" s="1" t="s">
        <v>21</v>
      </c>
      <c r="E346" s="1" t="s">
        <v>83</v>
      </c>
      <c r="F346" s="1" t="s">
        <v>122</v>
      </c>
      <c r="G346" s="1">
        <v>3</v>
      </c>
      <c r="H346" s="1">
        <v>935</v>
      </c>
      <c r="I346" s="1" t="s">
        <v>11</v>
      </c>
      <c r="J346" s="1" t="s">
        <v>37</v>
      </c>
      <c r="K346" s="1">
        <f>Table1[[#This Row],[Quantity]]*Table1[[#This Row],[Unit Price]]</f>
        <v>2805</v>
      </c>
    </row>
    <row r="347" spans="1:11" x14ac:dyDescent="0.4">
      <c r="A347" s="1" t="s">
        <v>440</v>
      </c>
      <c r="B347" s="3">
        <v>46292</v>
      </c>
      <c r="C347" s="1" t="s">
        <v>111</v>
      </c>
      <c r="D347" s="1" t="s">
        <v>22</v>
      </c>
      <c r="E347" s="1" t="s">
        <v>10</v>
      </c>
      <c r="F347" s="1" t="s">
        <v>68</v>
      </c>
      <c r="G347" s="1">
        <v>1</v>
      </c>
      <c r="H347" s="1">
        <v>2500</v>
      </c>
      <c r="I347" s="1" t="s">
        <v>19</v>
      </c>
      <c r="J347" s="1" t="s">
        <v>73</v>
      </c>
      <c r="K347" s="1">
        <f>Table1[[#This Row],[Quantity]]*Table1[[#This Row],[Unit Price]]</f>
        <v>2500</v>
      </c>
    </row>
    <row r="348" spans="1:11" x14ac:dyDescent="0.4">
      <c r="A348" s="1" t="s">
        <v>441</v>
      </c>
      <c r="B348" s="3">
        <v>46269</v>
      </c>
      <c r="C348" s="1" t="s">
        <v>95</v>
      </c>
      <c r="D348" s="1" t="s">
        <v>22</v>
      </c>
      <c r="E348" s="1" t="s">
        <v>10</v>
      </c>
      <c r="F348" s="1" t="s">
        <v>42</v>
      </c>
      <c r="G348" s="1">
        <v>3</v>
      </c>
      <c r="H348" s="1">
        <v>1890</v>
      </c>
      <c r="I348" s="1" t="s">
        <v>74</v>
      </c>
      <c r="J348" s="1" t="s">
        <v>30</v>
      </c>
      <c r="K348" s="1">
        <f>Table1[[#This Row],[Quantity]]*Table1[[#This Row],[Unit Price]]</f>
        <v>5670</v>
      </c>
    </row>
    <row r="349" spans="1:11" x14ac:dyDescent="0.4">
      <c r="A349" s="1" t="s">
        <v>442</v>
      </c>
      <c r="B349" s="3">
        <v>46115</v>
      </c>
      <c r="C349" s="1" t="s">
        <v>78</v>
      </c>
      <c r="D349" s="1" t="s">
        <v>14</v>
      </c>
      <c r="E349" s="1" t="s">
        <v>10</v>
      </c>
      <c r="F349" s="1" t="s">
        <v>115</v>
      </c>
      <c r="G349" s="1">
        <v>1</v>
      </c>
      <c r="H349" s="1">
        <v>2420</v>
      </c>
      <c r="I349" s="1" t="s">
        <v>74</v>
      </c>
      <c r="J349" s="1" t="s">
        <v>37</v>
      </c>
      <c r="K349" s="1">
        <f>Table1[[#This Row],[Quantity]]*Table1[[#This Row],[Unit Price]]</f>
        <v>2420</v>
      </c>
    </row>
    <row r="350" spans="1:11" x14ac:dyDescent="0.4">
      <c r="A350" s="1" t="s">
        <v>443</v>
      </c>
      <c r="B350" s="3">
        <v>46213</v>
      </c>
      <c r="C350" s="1" t="s">
        <v>76</v>
      </c>
      <c r="D350" s="1" t="s">
        <v>17</v>
      </c>
      <c r="E350" s="1" t="s">
        <v>83</v>
      </c>
      <c r="F350" s="1" t="s">
        <v>84</v>
      </c>
      <c r="G350" s="1">
        <v>4</v>
      </c>
      <c r="H350" s="1">
        <v>330</v>
      </c>
      <c r="I350" s="1" t="s">
        <v>36</v>
      </c>
      <c r="J350" s="1" t="s">
        <v>30</v>
      </c>
      <c r="K350" s="1">
        <f>Table1[[#This Row],[Quantity]]*Table1[[#This Row],[Unit Price]]</f>
        <v>1320</v>
      </c>
    </row>
    <row r="351" spans="1:11" x14ac:dyDescent="0.4">
      <c r="A351" s="1" t="s">
        <v>444</v>
      </c>
      <c r="B351" s="3">
        <v>46236</v>
      </c>
      <c r="C351" s="1" t="s">
        <v>39</v>
      </c>
      <c r="D351" s="1" t="s">
        <v>17</v>
      </c>
      <c r="E351" s="1" t="s">
        <v>10</v>
      </c>
      <c r="F351" s="1" t="s">
        <v>115</v>
      </c>
      <c r="G351" s="1">
        <v>2</v>
      </c>
      <c r="H351" s="1">
        <v>2090</v>
      </c>
      <c r="I351" s="1" t="s">
        <v>36</v>
      </c>
      <c r="J351" s="1" t="s">
        <v>37</v>
      </c>
      <c r="K351" s="1">
        <f>Table1[[#This Row],[Quantity]]*Table1[[#This Row],[Unit Price]]</f>
        <v>4180</v>
      </c>
    </row>
    <row r="352" spans="1:11" x14ac:dyDescent="0.4">
      <c r="A352" s="1" t="s">
        <v>445</v>
      </c>
      <c r="B352" s="3">
        <v>46200</v>
      </c>
      <c r="C352" s="1" t="s">
        <v>153</v>
      </c>
      <c r="D352" s="1" t="s">
        <v>22</v>
      </c>
      <c r="E352" s="1" t="s">
        <v>83</v>
      </c>
      <c r="F352" s="1" t="s">
        <v>84</v>
      </c>
      <c r="G352" s="1">
        <v>4</v>
      </c>
      <c r="H352" s="1">
        <v>330</v>
      </c>
      <c r="I352" s="1" t="s">
        <v>74</v>
      </c>
      <c r="J352" s="1" t="s">
        <v>30</v>
      </c>
      <c r="K352" s="1">
        <f>Table1[[#This Row],[Quantity]]*Table1[[#This Row],[Unit Price]]</f>
        <v>1320</v>
      </c>
    </row>
    <row r="353" spans="1:11" x14ac:dyDescent="0.4">
      <c r="A353" s="1" t="s">
        <v>446</v>
      </c>
      <c r="B353" s="3">
        <v>46225</v>
      </c>
      <c r="C353" s="1" t="s">
        <v>32</v>
      </c>
      <c r="D353" s="1" t="s">
        <v>24</v>
      </c>
      <c r="E353" s="1" t="s">
        <v>83</v>
      </c>
      <c r="F353" s="1" t="s">
        <v>129</v>
      </c>
      <c r="G353" s="1">
        <v>2</v>
      </c>
      <c r="H353" s="1">
        <v>450</v>
      </c>
      <c r="I353" s="1" t="s">
        <v>11</v>
      </c>
      <c r="J353" s="1" t="s">
        <v>37</v>
      </c>
      <c r="K353" s="1">
        <f>Table1[[#This Row],[Quantity]]*Table1[[#This Row],[Unit Price]]</f>
        <v>900</v>
      </c>
    </row>
    <row r="354" spans="1:11" x14ac:dyDescent="0.4">
      <c r="A354" s="1" t="s">
        <v>447</v>
      </c>
      <c r="B354" s="3">
        <v>46278</v>
      </c>
      <c r="C354" s="1" t="s">
        <v>157</v>
      </c>
      <c r="D354" s="1" t="s">
        <v>14</v>
      </c>
      <c r="E354" s="1" t="s">
        <v>10</v>
      </c>
      <c r="F354" s="1" t="s">
        <v>115</v>
      </c>
      <c r="G354" s="1">
        <v>3</v>
      </c>
      <c r="H354" s="1">
        <v>2200</v>
      </c>
      <c r="I354" s="1" t="s">
        <v>19</v>
      </c>
      <c r="J354" s="1" t="s">
        <v>75</v>
      </c>
      <c r="K354" s="1">
        <f>Table1[[#This Row],[Quantity]]*Table1[[#This Row],[Unit Price]]</f>
        <v>6600</v>
      </c>
    </row>
    <row r="355" spans="1:11" x14ac:dyDescent="0.4">
      <c r="A355" s="1" t="s">
        <v>448</v>
      </c>
      <c r="B355" s="3">
        <v>46153</v>
      </c>
      <c r="C355" s="1" t="s">
        <v>50</v>
      </c>
      <c r="D355" s="1" t="s">
        <v>21</v>
      </c>
      <c r="E355" s="1" t="s">
        <v>79</v>
      </c>
      <c r="F355" s="1" t="s">
        <v>107</v>
      </c>
      <c r="G355" s="1">
        <v>3</v>
      </c>
      <c r="H355" s="1">
        <v>1890</v>
      </c>
      <c r="I355" s="1" t="s">
        <v>19</v>
      </c>
      <c r="J355" s="1" t="s">
        <v>33</v>
      </c>
      <c r="K355" s="1">
        <f>Table1[[#This Row],[Quantity]]*Table1[[#This Row],[Unit Price]]</f>
        <v>5670</v>
      </c>
    </row>
    <row r="356" spans="1:11" x14ac:dyDescent="0.4">
      <c r="A356" s="1" t="s">
        <v>449</v>
      </c>
      <c r="B356" s="3">
        <v>46276</v>
      </c>
      <c r="C356" s="1" t="s">
        <v>82</v>
      </c>
      <c r="D356" s="1" t="s">
        <v>14</v>
      </c>
      <c r="E356" s="1" t="s">
        <v>86</v>
      </c>
      <c r="F356" s="1" t="s">
        <v>93</v>
      </c>
      <c r="G356" s="1">
        <v>2</v>
      </c>
      <c r="H356" s="1">
        <v>1320</v>
      </c>
      <c r="I356" s="1" t="s">
        <v>74</v>
      </c>
      <c r="J356" s="1" t="s">
        <v>75</v>
      </c>
      <c r="K356" s="1">
        <f>Table1[[#This Row],[Quantity]]*Table1[[#This Row],[Unit Price]]</f>
        <v>2640</v>
      </c>
    </row>
    <row r="357" spans="1:11" x14ac:dyDescent="0.4">
      <c r="A357" s="1" t="s">
        <v>450</v>
      </c>
      <c r="B357" s="3">
        <v>46222</v>
      </c>
      <c r="C357" s="1" t="s">
        <v>47</v>
      </c>
      <c r="D357" s="1" t="s">
        <v>12</v>
      </c>
      <c r="E357" s="1" t="s">
        <v>86</v>
      </c>
      <c r="F357" s="1" t="s">
        <v>87</v>
      </c>
      <c r="G357" s="1">
        <v>1</v>
      </c>
      <c r="H357" s="1">
        <v>1800</v>
      </c>
      <c r="I357" s="1" t="s">
        <v>11</v>
      </c>
      <c r="J357" s="1" t="s">
        <v>75</v>
      </c>
      <c r="K357" s="1">
        <f>Table1[[#This Row],[Quantity]]*Table1[[#This Row],[Unit Price]]</f>
        <v>1800</v>
      </c>
    </row>
    <row r="358" spans="1:11" x14ac:dyDescent="0.4">
      <c r="A358" s="1" t="s">
        <v>451</v>
      </c>
      <c r="B358" s="3">
        <v>46139</v>
      </c>
      <c r="C358" s="1" t="s">
        <v>70</v>
      </c>
      <c r="D358" s="1" t="s">
        <v>24</v>
      </c>
      <c r="E358" s="1" t="s">
        <v>16</v>
      </c>
      <c r="F358" s="1" t="s">
        <v>65</v>
      </c>
      <c r="G358" s="1">
        <v>2</v>
      </c>
      <c r="H358" s="1">
        <v>150</v>
      </c>
      <c r="I358" s="1" t="s">
        <v>36</v>
      </c>
      <c r="J358" s="1" t="s">
        <v>73</v>
      </c>
      <c r="K358" s="1">
        <f>Table1[[#This Row],[Quantity]]*Table1[[#This Row],[Unit Price]]</f>
        <v>300</v>
      </c>
    </row>
    <row r="359" spans="1:11" x14ac:dyDescent="0.4">
      <c r="A359" s="1" t="s">
        <v>452</v>
      </c>
      <c r="B359" s="3">
        <v>46238</v>
      </c>
      <c r="C359" s="1" t="s">
        <v>64</v>
      </c>
      <c r="D359" s="1" t="s">
        <v>24</v>
      </c>
      <c r="E359" s="1" t="s">
        <v>79</v>
      </c>
      <c r="F359" s="1" t="s">
        <v>88</v>
      </c>
      <c r="G359" s="1">
        <v>3</v>
      </c>
      <c r="H359" s="1">
        <v>7150</v>
      </c>
      <c r="I359" s="1" t="s">
        <v>36</v>
      </c>
      <c r="J359" s="1" t="s">
        <v>37</v>
      </c>
      <c r="K359" s="1">
        <f>Table1[[#This Row],[Quantity]]*Table1[[#This Row],[Unit Price]]</f>
        <v>21450</v>
      </c>
    </row>
    <row r="360" spans="1:11" x14ac:dyDescent="0.4">
      <c r="A360" s="1" t="s">
        <v>453</v>
      </c>
      <c r="B360" s="3">
        <v>46230</v>
      </c>
      <c r="C360" s="1" t="s">
        <v>157</v>
      </c>
      <c r="D360" s="1" t="s">
        <v>24</v>
      </c>
      <c r="E360" s="1" t="s">
        <v>16</v>
      </c>
      <c r="F360" s="1" t="s">
        <v>65</v>
      </c>
      <c r="G360" s="1">
        <v>4</v>
      </c>
      <c r="H360" s="1">
        <v>150</v>
      </c>
      <c r="I360" s="1" t="s">
        <v>19</v>
      </c>
      <c r="J360" s="1" t="s">
        <v>37</v>
      </c>
      <c r="K360" s="1">
        <f>Table1[[#This Row],[Quantity]]*Table1[[#This Row],[Unit Price]]</f>
        <v>600</v>
      </c>
    </row>
    <row r="361" spans="1:11" x14ac:dyDescent="0.4">
      <c r="A361" s="1" t="s">
        <v>454</v>
      </c>
      <c r="B361" s="3">
        <v>46143</v>
      </c>
      <c r="C361" s="1" t="s">
        <v>61</v>
      </c>
      <c r="D361" s="1" t="s">
        <v>17</v>
      </c>
      <c r="E361" s="1" t="s">
        <v>23</v>
      </c>
      <c r="F361" s="1" t="s">
        <v>48</v>
      </c>
      <c r="G361" s="1">
        <v>2</v>
      </c>
      <c r="H361" s="1">
        <v>950</v>
      </c>
      <c r="I361" s="1" t="s">
        <v>74</v>
      </c>
      <c r="J361" s="1" t="s">
        <v>81</v>
      </c>
      <c r="K361" s="1">
        <f>Table1[[#This Row],[Quantity]]*Table1[[#This Row],[Unit Price]]</f>
        <v>1900</v>
      </c>
    </row>
    <row r="362" spans="1:11" x14ac:dyDescent="0.4">
      <c r="A362" s="1" t="s">
        <v>455</v>
      </c>
      <c r="B362" s="3">
        <v>46265</v>
      </c>
      <c r="C362" s="1" t="s">
        <v>44</v>
      </c>
      <c r="D362" s="1" t="s">
        <v>25</v>
      </c>
      <c r="E362" s="1" t="s">
        <v>16</v>
      </c>
      <c r="F362" s="1" t="s">
        <v>15</v>
      </c>
      <c r="G362" s="1">
        <v>3</v>
      </c>
      <c r="H362" s="1">
        <v>126</v>
      </c>
      <c r="I362" s="1" t="s">
        <v>19</v>
      </c>
      <c r="J362" s="1" t="s">
        <v>75</v>
      </c>
      <c r="K362" s="1">
        <f>Table1[[#This Row],[Quantity]]*Table1[[#This Row],[Unit Price]]</f>
        <v>378</v>
      </c>
    </row>
    <row r="363" spans="1:11" x14ac:dyDescent="0.4">
      <c r="A363" s="1" t="s">
        <v>456</v>
      </c>
      <c r="B363" s="3">
        <v>46155</v>
      </c>
      <c r="C363" s="1" t="s">
        <v>58</v>
      </c>
      <c r="D363" s="1" t="s">
        <v>25</v>
      </c>
      <c r="E363" s="1" t="s">
        <v>83</v>
      </c>
      <c r="F363" s="1" t="s">
        <v>91</v>
      </c>
      <c r="G363" s="1">
        <v>2</v>
      </c>
      <c r="H363" s="1">
        <v>250</v>
      </c>
      <c r="I363" s="1" t="s">
        <v>11</v>
      </c>
      <c r="J363" s="1" t="s">
        <v>37</v>
      </c>
      <c r="K363" s="1">
        <f>Table1[[#This Row],[Quantity]]*Table1[[#This Row],[Unit Price]]</f>
        <v>500</v>
      </c>
    </row>
    <row r="364" spans="1:11" x14ac:dyDescent="0.4">
      <c r="A364" s="1" t="s">
        <v>457</v>
      </c>
      <c r="B364" s="3">
        <v>46115</v>
      </c>
      <c r="C364" s="1" t="s">
        <v>102</v>
      </c>
      <c r="D364" s="1" t="s">
        <v>25</v>
      </c>
      <c r="E364" s="1" t="s">
        <v>83</v>
      </c>
      <c r="F364" s="1" t="s">
        <v>91</v>
      </c>
      <c r="G364" s="1">
        <v>1</v>
      </c>
      <c r="H364" s="1">
        <v>262.5</v>
      </c>
      <c r="I364" s="1" t="s">
        <v>74</v>
      </c>
      <c r="J364" s="1" t="s">
        <v>73</v>
      </c>
      <c r="K364" s="1">
        <f>Table1[[#This Row],[Quantity]]*Table1[[#This Row],[Unit Price]]</f>
        <v>262.5</v>
      </c>
    </row>
    <row r="365" spans="1:11" x14ac:dyDescent="0.4">
      <c r="A365" s="1" t="s">
        <v>458</v>
      </c>
      <c r="B365" s="3">
        <v>46238</v>
      </c>
      <c r="C365" s="1" t="s">
        <v>153</v>
      </c>
      <c r="D365" s="1" t="s">
        <v>17</v>
      </c>
      <c r="E365" s="1" t="s">
        <v>86</v>
      </c>
      <c r="F365" s="1" t="s">
        <v>112</v>
      </c>
      <c r="G365" s="1">
        <v>4</v>
      </c>
      <c r="H365" s="1">
        <v>945</v>
      </c>
      <c r="I365" s="1" t="s">
        <v>11</v>
      </c>
      <c r="J365" s="1" t="s">
        <v>75</v>
      </c>
      <c r="K365" s="1">
        <f>Table1[[#This Row],[Quantity]]*Table1[[#This Row],[Unit Price]]</f>
        <v>3780</v>
      </c>
    </row>
    <row r="366" spans="1:11" x14ac:dyDescent="0.4">
      <c r="A366" s="1" t="s">
        <v>459</v>
      </c>
      <c r="B366" s="3">
        <v>46120</v>
      </c>
      <c r="C366" s="1" t="s">
        <v>50</v>
      </c>
      <c r="D366" s="1" t="s">
        <v>12</v>
      </c>
      <c r="E366" s="1" t="s">
        <v>23</v>
      </c>
      <c r="F366" s="1" t="s">
        <v>18</v>
      </c>
      <c r="G366" s="1">
        <v>2</v>
      </c>
      <c r="H366" s="1">
        <v>450</v>
      </c>
      <c r="I366" s="1" t="s">
        <v>19</v>
      </c>
      <c r="J366" s="1" t="s">
        <v>81</v>
      </c>
      <c r="K366" s="1">
        <f>Table1[[#This Row],[Quantity]]*Table1[[#This Row],[Unit Price]]</f>
        <v>900</v>
      </c>
    </row>
    <row r="367" spans="1:11" x14ac:dyDescent="0.4">
      <c r="A367" s="1" t="s">
        <v>460</v>
      </c>
      <c r="B367" s="3">
        <v>46257</v>
      </c>
      <c r="C367" s="1" t="s">
        <v>30</v>
      </c>
      <c r="D367" s="1" t="s">
        <v>24</v>
      </c>
      <c r="E367" s="1" t="s">
        <v>83</v>
      </c>
      <c r="F367" s="1" t="s">
        <v>91</v>
      </c>
      <c r="G367" s="1">
        <v>3</v>
      </c>
      <c r="H367" s="1">
        <v>237.5</v>
      </c>
      <c r="I367" s="1" t="s">
        <v>36</v>
      </c>
      <c r="J367" s="1" t="s">
        <v>75</v>
      </c>
      <c r="K367" s="1">
        <f>Table1[[#This Row],[Quantity]]*Table1[[#This Row],[Unit Price]]</f>
        <v>712.5</v>
      </c>
    </row>
    <row r="368" spans="1:11" x14ac:dyDescent="0.4">
      <c r="A368" s="1" t="s">
        <v>461</v>
      </c>
      <c r="B368" s="3">
        <v>46206</v>
      </c>
      <c r="C368" s="1" t="s">
        <v>102</v>
      </c>
      <c r="D368" s="1" t="s">
        <v>14</v>
      </c>
      <c r="E368" s="1" t="s">
        <v>10</v>
      </c>
      <c r="F368" s="1" t="s">
        <v>42</v>
      </c>
      <c r="G368" s="1">
        <v>4</v>
      </c>
      <c r="H368" s="1">
        <v>1890</v>
      </c>
      <c r="I368" s="1" t="s">
        <v>74</v>
      </c>
      <c r="J368" s="1" t="s">
        <v>30</v>
      </c>
      <c r="K368" s="1">
        <f>Table1[[#This Row],[Quantity]]*Table1[[#This Row],[Unit Price]]</f>
        <v>7560</v>
      </c>
    </row>
    <row r="369" spans="1:11" x14ac:dyDescent="0.4">
      <c r="A369" s="1" t="s">
        <v>462</v>
      </c>
      <c r="B369" s="3">
        <v>46280</v>
      </c>
      <c r="C369" s="1" t="s">
        <v>70</v>
      </c>
      <c r="D369" s="1" t="s">
        <v>12</v>
      </c>
      <c r="E369" s="1" t="s">
        <v>23</v>
      </c>
      <c r="F369" s="1" t="s">
        <v>48</v>
      </c>
      <c r="G369" s="1">
        <v>2</v>
      </c>
      <c r="H369" s="1">
        <v>902.5</v>
      </c>
      <c r="I369" s="1" t="s">
        <v>36</v>
      </c>
      <c r="J369" s="1" t="s">
        <v>30</v>
      </c>
      <c r="K369" s="1">
        <f>Table1[[#This Row],[Quantity]]*Table1[[#This Row],[Unit Price]]</f>
        <v>1805</v>
      </c>
    </row>
    <row r="370" spans="1:11" x14ac:dyDescent="0.4">
      <c r="A370" s="1" t="s">
        <v>463</v>
      </c>
      <c r="B370" s="3">
        <v>46225</v>
      </c>
      <c r="C370" s="1" t="s">
        <v>47</v>
      </c>
      <c r="D370" s="1" t="s">
        <v>22</v>
      </c>
      <c r="E370" s="1" t="s">
        <v>10</v>
      </c>
      <c r="F370" s="1" t="s">
        <v>72</v>
      </c>
      <c r="G370" s="1">
        <v>4</v>
      </c>
      <c r="H370" s="1">
        <v>3500</v>
      </c>
      <c r="I370" s="1" t="s">
        <v>74</v>
      </c>
      <c r="J370" s="1" t="s">
        <v>33</v>
      </c>
      <c r="K370" s="1">
        <f>Table1[[#This Row],[Quantity]]*Table1[[#This Row],[Unit Price]]</f>
        <v>14000</v>
      </c>
    </row>
    <row r="371" spans="1:11" x14ac:dyDescent="0.4">
      <c r="A371" s="1" t="s">
        <v>464</v>
      </c>
      <c r="B371" s="3">
        <v>46270</v>
      </c>
      <c r="C371" s="1" t="s">
        <v>148</v>
      </c>
      <c r="D371" s="1" t="s">
        <v>8</v>
      </c>
      <c r="E371" s="1" t="s">
        <v>16</v>
      </c>
      <c r="F371" s="1" t="s">
        <v>15</v>
      </c>
      <c r="G371" s="1">
        <v>4</v>
      </c>
      <c r="H371" s="1">
        <v>120</v>
      </c>
      <c r="I371" s="1" t="s">
        <v>36</v>
      </c>
      <c r="J371" s="1" t="s">
        <v>75</v>
      </c>
      <c r="K371" s="1">
        <f>Table1[[#This Row],[Quantity]]*Table1[[#This Row],[Unit Price]]</f>
        <v>480</v>
      </c>
    </row>
    <row r="372" spans="1:11" x14ac:dyDescent="0.4">
      <c r="A372" s="1" t="s">
        <v>465</v>
      </c>
      <c r="B372" s="3">
        <v>46184</v>
      </c>
      <c r="C372" s="1" t="s">
        <v>55</v>
      </c>
      <c r="D372" s="1" t="s">
        <v>12</v>
      </c>
      <c r="E372" s="1" t="s">
        <v>16</v>
      </c>
      <c r="F372" s="1" t="s">
        <v>56</v>
      </c>
      <c r="G372" s="1">
        <v>2</v>
      </c>
      <c r="H372" s="1">
        <v>200</v>
      </c>
      <c r="I372" s="1" t="s">
        <v>11</v>
      </c>
      <c r="J372" s="1" t="s">
        <v>33</v>
      </c>
      <c r="K372" s="1">
        <f>Table1[[#This Row],[Quantity]]*Table1[[#This Row],[Unit Price]]</f>
        <v>400</v>
      </c>
    </row>
    <row r="373" spans="1:11" x14ac:dyDescent="0.4">
      <c r="A373" s="1" t="s">
        <v>466</v>
      </c>
      <c r="B373" s="3">
        <v>46218</v>
      </c>
      <c r="C373" s="1" t="s">
        <v>76</v>
      </c>
      <c r="D373" s="1" t="s">
        <v>17</v>
      </c>
      <c r="E373" s="1" t="s">
        <v>10</v>
      </c>
      <c r="F373" s="1" t="s">
        <v>20</v>
      </c>
      <c r="G373" s="1">
        <v>10</v>
      </c>
      <c r="H373" s="1">
        <v>300</v>
      </c>
      <c r="I373" s="1" t="s">
        <v>19</v>
      </c>
      <c r="J373" s="1" t="s">
        <v>33</v>
      </c>
      <c r="K373" s="1">
        <f>Table1[[#This Row],[Quantity]]*Table1[[#This Row],[Unit Price]]</f>
        <v>3000</v>
      </c>
    </row>
    <row r="374" spans="1:11" x14ac:dyDescent="0.4">
      <c r="A374" s="1" t="s">
        <v>467</v>
      </c>
      <c r="B374" s="3">
        <v>46295</v>
      </c>
      <c r="C374" s="1" t="s">
        <v>153</v>
      </c>
      <c r="D374" s="1" t="s">
        <v>17</v>
      </c>
      <c r="E374" s="1" t="s">
        <v>79</v>
      </c>
      <c r="F374" s="1" t="s">
        <v>88</v>
      </c>
      <c r="G374" s="1">
        <v>5</v>
      </c>
      <c r="H374" s="1">
        <v>6825</v>
      </c>
      <c r="I374" s="1" t="s">
        <v>36</v>
      </c>
      <c r="J374" s="1" t="s">
        <v>73</v>
      </c>
      <c r="K374" s="1">
        <f>Table1[[#This Row],[Quantity]]*Table1[[#This Row],[Unit Price]]</f>
        <v>34125</v>
      </c>
    </row>
    <row r="375" spans="1:11" x14ac:dyDescent="0.4">
      <c r="A375" s="1" t="s">
        <v>468</v>
      </c>
      <c r="B375" s="3">
        <v>46219</v>
      </c>
      <c r="C375" s="1" t="s">
        <v>64</v>
      </c>
      <c r="D375" s="1" t="s">
        <v>12</v>
      </c>
      <c r="E375" s="1" t="s">
        <v>86</v>
      </c>
      <c r="F375" s="1" t="s">
        <v>87</v>
      </c>
      <c r="G375" s="1">
        <v>2</v>
      </c>
      <c r="H375" s="1">
        <v>1710</v>
      </c>
      <c r="I375" s="1" t="s">
        <v>36</v>
      </c>
      <c r="J375" s="1" t="s">
        <v>81</v>
      </c>
      <c r="K375" s="1">
        <f>Table1[[#This Row],[Quantity]]*Table1[[#This Row],[Unit Price]]</f>
        <v>3420</v>
      </c>
    </row>
    <row r="376" spans="1:11" x14ac:dyDescent="0.4">
      <c r="A376" s="1" t="s">
        <v>469</v>
      </c>
      <c r="B376" s="3">
        <v>46237</v>
      </c>
      <c r="C376" s="1" t="s">
        <v>78</v>
      </c>
      <c r="D376" s="1" t="s">
        <v>25</v>
      </c>
      <c r="E376" s="1" t="s">
        <v>79</v>
      </c>
      <c r="F376" s="1" t="s">
        <v>88</v>
      </c>
      <c r="G376" s="1">
        <v>3</v>
      </c>
      <c r="H376" s="1">
        <v>6175</v>
      </c>
      <c r="I376" s="1" t="s">
        <v>36</v>
      </c>
      <c r="J376" s="1" t="s">
        <v>30</v>
      </c>
      <c r="K376" s="1">
        <f>Table1[[#This Row],[Quantity]]*Table1[[#This Row],[Unit Price]]</f>
        <v>18525</v>
      </c>
    </row>
    <row r="377" spans="1:11" x14ac:dyDescent="0.4">
      <c r="A377" s="1" t="s">
        <v>470</v>
      </c>
      <c r="B377" s="3">
        <v>46249</v>
      </c>
      <c r="C377" s="1" t="s">
        <v>160</v>
      </c>
      <c r="D377" s="1" t="s">
        <v>14</v>
      </c>
      <c r="E377" s="1" t="s">
        <v>86</v>
      </c>
      <c r="F377" s="1" t="s">
        <v>89</v>
      </c>
      <c r="G377" s="1">
        <v>1</v>
      </c>
      <c r="H377" s="1">
        <v>735</v>
      </c>
      <c r="I377" s="1" t="s">
        <v>74</v>
      </c>
      <c r="J377" s="1" t="s">
        <v>37</v>
      </c>
      <c r="K377" s="1">
        <f>Table1[[#This Row],[Quantity]]*Table1[[#This Row],[Unit Price]]</f>
        <v>735</v>
      </c>
    </row>
    <row r="378" spans="1:11" x14ac:dyDescent="0.4">
      <c r="A378" s="1" t="s">
        <v>471</v>
      </c>
      <c r="B378" s="3">
        <v>46195</v>
      </c>
      <c r="C378" s="1" t="s">
        <v>41</v>
      </c>
      <c r="D378" s="1" t="s">
        <v>25</v>
      </c>
      <c r="E378" s="1" t="s">
        <v>23</v>
      </c>
      <c r="F378" s="1" t="s">
        <v>71</v>
      </c>
      <c r="G378" s="1">
        <v>2</v>
      </c>
      <c r="H378" s="1">
        <v>880</v>
      </c>
      <c r="I378" s="1" t="s">
        <v>36</v>
      </c>
      <c r="J378" s="1" t="s">
        <v>73</v>
      </c>
      <c r="K378" s="1">
        <f>Table1[[#This Row],[Quantity]]*Table1[[#This Row],[Unit Price]]</f>
        <v>1760</v>
      </c>
    </row>
    <row r="379" spans="1:11" x14ac:dyDescent="0.4">
      <c r="A379" s="1" t="s">
        <v>472</v>
      </c>
      <c r="B379" s="3">
        <v>46125</v>
      </c>
      <c r="C379" s="1" t="s">
        <v>29</v>
      </c>
      <c r="D379" s="1" t="s">
        <v>24</v>
      </c>
      <c r="E379" s="1" t="s">
        <v>10</v>
      </c>
      <c r="F379" s="1" t="s">
        <v>42</v>
      </c>
      <c r="G379" s="1">
        <v>1</v>
      </c>
      <c r="H379" s="1">
        <v>1890</v>
      </c>
      <c r="I379" s="1" t="s">
        <v>19</v>
      </c>
      <c r="J379" s="1" t="s">
        <v>81</v>
      </c>
      <c r="K379" s="1">
        <f>Table1[[#This Row],[Quantity]]*Table1[[#This Row],[Unit Price]]</f>
        <v>1890</v>
      </c>
    </row>
    <row r="380" spans="1:11" x14ac:dyDescent="0.4">
      <c r="A380" s="1" t="s">
        <v>473</v>
      </c>
      <c r="B380" s="3">
        <v>46229</v>
      </c>
      <c r="C380" s="1" t="s">
        <v>47</v>
      </c>
      <c r="D380" s="1" t="s">
        <v>17</v>
      </c>
      <c r="E380" s="1" t="s">
        <v>10</v>
      </c>
      <c r="F380" s="1" t="s">
        <v>9</v>
      </c>
      <c r="G380" s="1">
        <v>10</v>
      </c>
      <c r="H380" s="1">
        <v>682.5</v>
      </c>
      <c r="I380" s="1" t="s">
        <v>36</v>
      </c>
      <c r="J380" s="1" t="s">
        <v>33</v>
      </c>
      <c r="K380" s="1">
        <f>Table1[[#This Row],[Quantity]]*Table1[[#This Row],[Unit Price]]</f>
        <v>6825</v>
      </c>
    </row>
    <row r="381" spans="1:11" x14ac:dyDescent="0.4">
      <c r="A381" s="1" t="s">
        <v>474</v>
      </c>
      <c r="B381" s="3">
        <v>46183</v>
      </c>
      <c r="C381" s="1" t="s">
        <v>35</v>
      </c>
      <c r="D381" s="1" t="s">
        <v>22</v>
      </c>
      <c r="E381" s="1" t="s">
        <v>10</v>
      </c>
      <c r="F381" s="1" t="s">
        <v>68</v>
      </c>
      <c r="G381" s="1">
        <v>3</v>
      </c>
      <c r="H381" s="1">
        <v>2500</v>
      </c>
      <c r="I381" s="1" t="s">
        <v>19</v>
      </c>
      <c r="J381" s="1" t="s">
        <v>30</v>
      </c>
      <c r="K381" s="1">
        <f>Table1[[#This Row],[Quantity]]*Table1[[#This Row],[Unit Price]]</f>
        <v>7500</v>
      </c>
    </row>
    <row r="382" spans="1:11" x14ac:dyDescent="0.4">
      <c r="A382" s="1" t="s">
        <v>475</v>
      </c>
      <c r="B382" s="3">
        <v>46214</v>
      </c>
      <c r="C382" s="1" t="s">
        <v>67</v>
      </c>
      <c r="D382" s="1" t="s">
        <v>24</v>
      </c>
      <c r="E382" s="1" t="s">
        <v>23</v>
      </c>
      <c r="F382" s="1" t="s">
        <v>98</v>
      </c>
      <c r="G382" s="1">
        <v>4</v>
      </c>
      <c r="H382" s="1">
        <v>600</v>
      </c>
      <c r="I382" s="1" t="s">
        <v>11</v>
      </c>
      <c r="J382" s="1" t="s">
        <v>30</v>
      </c>
      <c r="K382" s="1">
        <f>Table1[[#This Row],[Quantity]]*Table1[[#This Row],[Unit Price]]</f>
        <v>2400</v>
      </c>
    </row>
    <row r="383" spans="1:11" x14ac:dyDescent="0.4">
      <c r="A383" s="1" t="s">
        <v>476</v>
      </c>
      <c r="B383" s="3">
        <v>46167</v>
      </c>
      <c r="C383" s="1" t="s">
        <v>50</v>
      </c>
      <c r="D383" s="1" t="s">
        <v>25</v>
      </c>
      <c r="E383" s="1" t="s">
        <v>83</v>
      </c>
      <c r="F383" s="1" t="s">
        <v>122</v>
      </c>
      <c r="G383" s="1">
        <v>1</v>
      </c>
      <c r="H383" s="1">
        <v>935</v>
      </c>
      <c r="I383" s="1" t="s">
        <v>11</v>
      </c>
      <c r="J383" s="1" t="s">
        <v>30</v>
      </c>
      <c r="K383" s="1">
        <f>Table1[[#This Row],[Quantity]]*Table1[[#This Row],[Unit Price]]</f>
        <v>935</v>
      </c>
    </row>
    <row r="384" spans="1:11" x14ac:dyDescent="0.4">
      <c r="A384" s="1" t="s">
        <v>477</v>
      </c>
      <c r="B384" s="3">
        <v>46291</v>
      </c>
      <c r="C384" s="1" t="s">
        <v>76</v>
      </c>
      <c r="D384" s="1" t="s">
        <v>17</v>
      </c>
      <c r="E384" s="1" t="s">
        <v>79</v>
      </c>
      <c r="F384" s="1" t="s">
        <v>107</v>
      </c>
      <c r="G384" s="1">
        <v>4</v>
      </c>
      <c r="H384" s="1">
        <v>1890</v>
      </c>
      <c r="I384" s="1" t="s">
        <v>74</v>
      </c>
      <c r="J384" s="1" t="s">
        <v>30</v>
      </c>
      <c r="K384" s="1">
        <f>Table1[[#This Row],[Quantity]]*Table1[[#This Row],[Unit Price]]</f>
        <v>7560</v>
      </c>
    </row>
    <row r="385" spans="1:11" x14ac:dyDescent="0.4">
      <c r="A385" s="1" t="s">
        <v>478</v>
      </c>
      <c r="B385" s="3">
        <v>46171</v>
      </c>
      <c r="C385" s="1" t="s">
        <v>39</v>
      </c>
      <c r="D385" s="1" t="s">
        <v>22</v>
      </c>
      <c r="E385" s="1" t="s">
        <v>86</v>
      </c>
      <c r="F385" s="1" t="s">
        <v>87</v>
      </c>
      <c r="G385" s="1">
        <v>1</v>
      </c>
      <c r="H385" s="1">
        <v>1710</v>
      </c>
      <c r="I385" s="1" t="s">
        <v>36</v>
      </c>
      <c r="J385" s="1" t="s">
        <v>37</v>
      </c>
      <c r="K385" s="1">
        <f>Table1[[#This Row],[Quantity]]*Table1[[#This Row],[Unit Price]]</f>
        <v>1710</v>
      </c>
    </row>
    <row r="386" spans="1:11" x14ac:dyDescent="0.4">
      <c r="A386" s="1" t="s">
        <v>479</v>
      </c>
      <c r="B386" s="3">
        <v>46148</v>
      </c>
      <c r="C386" s="1" t="s">
        <v>190</v>
      </c>
      <c r="D386" s="1" t="s">
        <v>17</v>
      </c>
      <c r="E386" s="1" t="s">
        <v>86</v>
      </c>
      <c r="F386" s="1" t="s">
        <v>87</v>
      </c>
      <c r="G386" s="1">
        <v>4</v>
      </c>
      <c r="H386" s="1">
        <v>1800</v>
      </c>
      <c r="I386" s="1" t="s">
        <v>11</v>
      </c>
      <c r="J386" s="1" t="s">
        <v>75</v>
      </c>
      <c r="K386" s="1">
        <f>Table1[[#This Row],[Quantity]]*Table1[[#This Row],[Unit Price]]</f>
        <v>7200</v>
      </c>
    </row>
    <row r="387" spans="1:11" x14ac:dyDescent="0.4">
      <c r="A387" s="1" t="s">
        <v>480</v>
      </c>
      <c r="B387" s="3">
        <v>46257</v>
      </c>
      <c r="C387" s="1" t="s">
        <v>70</v>
      </c>
      <c r="D387" s="1" t="s">
        <v>22</v>
      </c>
      <c r="E387" s="1" t="s">
        <v>10</v>
      </c>
      <c r="F387" s="1" t="s">
        <v>9</v>
      </c>
      <c r="G387" s="1">
        <v>3</v>
      </c>
      <c r="H387" s="1">
        <v>650</v>
      </c>
      <c r="I387" s="1" t="s">
        <v>19</v>
      </c>
      <c r="J387" s="1" t="s">
        <v>73</v>
      </c>
      <c r="K387" s="1">
        <f>Table1[[#This Row],[Quantity]]*Table1[[#This Row],[Unit Price]]</f>
        <v>1950</v>
      </c>
    </row>
    <row r="388" spans="1:11" x14ac:dyDescent="0.4">
      <c r="A388" s="1" t="s">
        <v>481</v>
      </c>
      <c r="B388" s="3">
        <v>46151</v>
      </c>
      <c r="C388" s="1" t="s">
        <v>90</v>
      </c>
      <c r="D388" s="1" t="s">
        <v>14</v>
      </c>
      <c r="E388" s="1" t="s">
        <v>86</v>
      </c>
      <c r="F388" s="1" t="s">
        <v>112</v>
      </c>
      <c r="G388" s="1">
        <v>3</v>
      </c>
      <c r="H388" s="1">
        <v>945</v>
      </c>
      <c r="I388" s="1" t="s">
        <v>11</v>
      </c>
      <c r="J388" s="1" t="s">
        <v>30</v>
      </c>
      <c r="K388" s="1">
        <f>Table1[[#This Row],[Quantity]]*Table1[[#This Row],[Unit Price]]</f>
        <v>2835</v>
      </c>
    </row>
    <row r="389" spans="1:11" x14ac:dyDescent="0.4">
      <c r="A389" s="1" t="s">
        <v>482</v>
      </c>
      <c r="B389" s="3">
        <v>46148</v>
      </c>
      <c r="C389" s="1" t="s">
        <v>61</v>
      </c>
      <c r="D389" s="1" t="s">
        <v>21</v>
      </c>
      <c r="E389" s="1" t="s">
        <v>10</v>
      </c>
      <c r="F389" s="1" t="s">
        <v>72</v>
      </c>
      <c r="G389" s="1">
        <v>3</v>
      </c>
      <c r="H389" s="1">
        <v>3675</v>
      </c>
      <c r="I389" s="1" t="s">
        <v>36</v>
      </c>
      <c r="J389" s="1" t="s">
        <v>33</v>
      </c>
      <c r="K389" s="1">
        <f>Table1[[#This Row],[Quantity]]*Table1[[#This Row],[Unit Price]]</f>
        <v>11025</v>
      </c>
    </row>
    <row r="390" spans="1:11" x14ac:dyDescent="0.4">
      <c r="A390" s="1" t="s">
        <v>483</v>
      </c>
      <c r="B390" s="3">
        <v>46176</v>
      </c>
      <c r="C390" s="1" t="s">
        <v>102</v>
      </c>
      <c r="D390" s="1" t="s">
        <v>12</v>
      </c>
      <c r="E390" s="1" t="s">
        <v>23</v>
      </c>
      <c r="F390" s="1" t="s">
        <v>62</v>
      </c>
      <c r="G390" s="1">
        <v>3</v>
      </c>
      <c r="H390" s="1">
        <v>700</v>
      </c>
      <c r="I390" s="1" t="s">
        <v>11</v>
      </c>
      <c r="J390" s="1" t="s">
        <v>73</v>
      </c>
      <c r="K390" s="1">
        <f>Table1[[#This Row],[Quantity]]*Table1[[#This Row],[Unit Price]]</f>
        <v>2100</v>
      </c>
    </row>
    <row r="391" spans="1:11" x14ac:dyDescent="0.4">
      <c r="A391" s="1" t="s">
        <v>484</v>
      </c>
      <c r="B391" s="3">
        <v>46190</v>
      </c>
      <c r="C391" s="1" t="s">
        <v>47</v>
      </c>
      <c r="D391" s="1" t="s">
        <v>21</v>
      </c>
      <c r="E391" s="1" t="s">
        <v>16</v>
      </c>
      <c r="F391" s="1" t="s">
        <v>77</v>
      </c>
      <c r="G391" s="1">
        <v>2</v>
      </c>
      <c r="H391" s="1">
        <v>275</v>
      </c>
      <c r="I391" s="1" t="s">
        <v>36</v>
      </c>
      <c r="J391" s="1" t="s">
        <v>73</v>
      </c>
      <c r="K391" s="1">
        <f>Table1[[#This Row],[Quantity]]*Table1[[#This Row],[Unit Price]]</f>
        <v>550</v>
      </c>
    </row>
    <row r="392" spans="1:11" x14ac:dyDescent="0.4">
      <c r="A392" s="1" t="s">
        <v>485</v>
      </c>
      <c r="B392" s="3">
        <v>46126</v>
      </c>
      <c r="C392" s="1" t="s">
        <v>50</v>
      </c>
      <c r="D392" s="1" t="s">
        <v>25</v>
      </c>
      <c r="E392" s="1" t="s">
        <v>23</v>
      </c>
      <c r="F392" s="1" t="s">
        <v>48</v>
      </c>
      <c r="G392" s="1">
        <v>2</v>
      </c>
      <c r="H392" s="1">
        <v>902.5</v>
      </c>
      <c r="I392" s="1" t="s">
        <v>11</v>
      </c>
      <c r="J392" s="1" t="s">
        <v>75</v>
      </c>
      <c r="K392" s="1">
        <f>Table1[[#This Row],[Quantity]]*Table1[[#This Row],[Unit Price]]</f>
        <v>1805</v>
      </c>
    </row>
    <row r="393" spans="1:11" x14ac:dyDescent="0.4">
      <c r="A393" s="1" t="s">
        <v>486</v>
      </c>
      <c r="B393" s="3">
        <v>46116</v>
      </c>
      <c r="C393" s="1" t="s">
        <v>64</v>
      </c>
      <c r="D393" s="1" t="s">
        <v>21</v>
      </c>
      <c r="E393" s="1" t="s">
        <v>79</v>
      </c>
      <c r="F393" s="1" t="s">
        <v>105</v>
      </c>
      <c r="G393" s="1">
        <v>6</v>
      </c>
      <c r="H393" s="1">
        <v>4200</v>
      </c>
      <c r="I393" s="1" t="s">
        <v>36</v>
      </c>
      <c r="J393" s="1" t="s">
        <v>75</v>
      </c>
      <c r="K393" s="1">
        <f>Table1[[#This Row],[Quantity]]*Table1[[#This Row],[Unit Price]]</f>
        <v>25200</v>
      </c>
    </row>
    <row r="394" spans="1:11" x14ac:dyDescent="0.4">
      <c r="A394" s="1" t="s">
        <v>487</v>
      </c>
      <c r="B394" s="3">
        <v>46287</v>
      </c>
      <c r="C394" s="1" t="s">
        <v>29</v>
      </c>
      <c r="D394" s="1" t="s">
        <v>24</v>
      </c>
      <c r="E394" s="1" t="s">
        <v>16</v>
      </c>
      <c r="F394" s="1" t="s">
        <v>65</v>
      </c>
      <c r="G394" s="1">
        <v>4</v>
      </c>
      <c r="H394" s="1">
        <v>142.5</v>
      </c>
      <c r="I394" s="1" t="s">
        <v>11</v>
      </c>
      <c r="J394" s="1" t="s">
        <v>37</v>
      </c>
      <c r="K394" s="1">
        <f>Table1[[#This Row],[Quantity]]*Table1[[#This Row],[Unit Price]]</f>
        <v>570</v>
      </c>
    </row>
    <row r="395" spans="1:11" x14ac:dyDescent="0.4">
      <c r="A395" s="1" t="s">
        <v>488</v>
      </c>
      <c r="B395" s="3">
        <v>46168</v>
      </c>
      <c r="C395" s="1" t="s">
        <v>202</v>
      </c>
      <c r="D395" s="1" t="s">
        <v>12</v>
      </c>
      <c r="E395" s="1" t="s">
        <v>10</v>
      </c>
      <c r="F395" s="1" t="s">
        <v>42</v>
      </c>
      <c r="G395" s="1">
        <v>6</v>
      </c>
      <c r="H395" s="1">
        <v>1890</v>
      </c>
      <c r="I395" s="1" t="s">
        <v>74</v>
      </c>
      <c r="J395" s="1" t="s">
        <v>81</v>
      </c>
      <c r="K395" s="1">
        <f>Table1[[#This Row],[Quantity]]*Table1[[#This Row],[Unit Price]]</f>
        <v>11340</v>
      </c>
    </row>
    <row r="396" spans="1:11" x14ac:dyDescent="0.4">
      <c r="A396" s="1" t="s">
        <v>489</v>
      </c>
      <c r="B396" s="3">
        <v>46292</v>
      </c>
      <c r="C396" s="1" t="s">
        <v>102</v>
      </c>
      <c r="D396" s="1" t="s">
        <v>17</v>
      </c>
      <c r="E396" s="1" t="s">
        <v>86</v>
      </c>
      <c r="F396" s="1" t="s">
        <v>89</v>
      </c>
      <c r="G396" s="1">
        <v>1</v>
      </c>
      <c r="H396" s="1">
        <v>770</v>
      </c>
      <c r="I396" s="1" t="s">
        <v>36</v>
      </c>
      <c r="J396" s="1" t="s">
        <v>30</v>
      </c>
      <c r="K396" s="1">
        <f>Table1[[#This Row],[Quantity]]*Table1[[#This Row],[Unit Price]]</f>
        <v>770</v>
      </c>
    </row>
    <row r="397" spans="1:11" x14ac:dyDescent="0.4">
      <c r="A397" s="1" t="s">
        <v>490</v>
      </c>
      <c r="B397" s="3">
        <v>46192</v>
      </c>
      <c r="C397" s="1" t="s">
        <v>148</v>
      </c>
      <c r="D397" s="1" t="s">
        <v>17</v>
      </c>
      <c r="E397" s="1" t="s">
        <v>10</v>
      </c>
      <c r="F397" s="1" t="s">
        <v>68</v>
      </c>
      <c r="G397" s="1">
        <v>2</v>
      </c>
      <c r="H397" s="1">
        <v>2500</v>
      </c>
      <c r="I397" s="1" t="s">
        <v>36</v>
      </c>
      <c r="J397" s="1" t="s">
        <v>81</v>
      </c>
      <c r="K397" s="1">
        <f>Table1[[#This Row],[Quantity]]*Table1[[#This Row],[Unit Price]]</f>
        <v>5000</v>
      </c>
    </row>
    <row r="398" spans="1:11" x14ac:dyDescent="0.4">
      <c r="A398" s="1" t="s">
        <v>491</v>
      </c>
      <c r="B398" s="3">
        <v>46263</v>
      </c>
      <c r="C398" s="1" t="s">
        <v>78</v>
      </c>
      <c r="D398" s="1" t="s">
        <v>14</v>
      </c>
      <c r="E398" s="1" t="s">
        <v>10</v>
      </c>
      <c r="F398" s="1" t="s">
        <v>59</v>
      </c>
      <c r="G398" s="1">
        <v>2</v>
      </c>
      <c r="H398" s="1">
        <v>1470</v>
      </c>
      <c r="I398" s="1" t="s">
        <v>11</v>
      </c>
      <c r="J398" s="1" t="s">
        <v>33</v>
      </c>
      <c r="K398" s="1">
        <f>Table1[[#This Row],[Quantity]]*Table1[[#This Row],[Unit Price]]</f>
        <v>2940</v>
      </c>
    </row>
    <row r="399" spans="1:11" x14ac:dyDescent="0.4">
      <c r="A399" s="1" t="s">
        <v>492</v>
      </c>
      <c r="B399" s="3">
        <v>46135</v>
      </c>
      <c r="C399" s="1" t="s">
        <v>85</v>
      </c>
      <c r="D399" s="1" t="s">
        <v>8</v>
      </c>
      <c r="E399" s="1" t="s">
        <v>86</v>
      </c>
      <c r="F399" s="1" t="s">
        <v>93</v>
      </c>
      <c r="G399" s="1">
        <v>1</v>
      </c>
      <c r="H399" s="1">
        <v>1320</v>
      </c>
      <c r="I399" s="1" t="s">
        <v>36</v>
      </c>
      <c r="J399" s="1" t="s">
        <v>73</v>
      </c>
      <c r="K399" s="1">
        <f>Table1[[#This Row],[Quantity]]*Table1[[#This Row],[Unit Price]]</f>
        <v>1320</v>
      </c>
    </row>
    <row r="400" spans="1:11" x14ac:dyDescent="0.4">
      <c r="A400" s="1" t="s">
        <v>493</v>
      </c>
      <c r="B400" s="3">
        <v>46281</v>
      </c>
      <c r="C400" s="1" t="s">
        <v>76</v>
      </c>
      <c r="D400" s="1" t="s">
        <v>8</v>
      </c>
      <c r="E400" s="1" t="s">
        <v>16</v>
      </c>
      <c r="F400" s="1" t="s">
        <v>65</v>
      </c>
      <c r="G400" s="1">
        <v>1</v>
      </c>
      <c r="H400" s="1">
        <v>150</v>
      </c>
      <c r="I400" s="1" t="s">
        <v>19</v>
      </c>
      <c r="J400" s="1" t="s">
        <v>81</v>
      </c>
      <c r="K400" s="1">
        <f>Table1[[#This Row],[Quantity]]*Table1[[#This Row],[Unit Price]]</f>
        <v>150</v>
      </c>
    </row>
    <row r="401" spans="1:11" x14ac:dyDescent="0.4">
      <c r="A401" s="1" t="s">
        <v>494</v>
      </c>
      <c r="B401" s="3">
        <v>46201</v>
      </c>
      <c r="C401" s="1" t="s">
        <v>78</v>
      </c>
      <c r="D401" s="1" t="s">
        <v>12</v>
      </c>
      <c r="E401" s="1" t="s">
        <v>23</v>
      </c>
      <c r="F401" s="1" t="s">
        <v>53</v>
      </c>
      <c r="G401" s="1">
        <v>1</v>
      </c>
      <c r="H401" s="1">
        <v>550</v>
      </c>
      <c r="I401" s="1" t="s">
        <v>11</v>
      </c>
      <c r="J401" s="1" t="s">
        <v>30</v>
      </c>
      <c r="K401" s="1">
        <f>Table1[[#This Row],[Quantity]]*Table1[[#This Row],[Unit Price]]</f>
        <v>550</v>
      </c>
    </row>
    <row r="402" spans="1:11" x14ac:dyDescent="0.4">
      <c r="A402" s="1" t="s">
        <v>495</v>
      </c>
      <c r="B402" s="3">
        <v>46198</v>
      </c>
      <c r="C402" s="1" t="s">
        <v>52</v>
      </c>
      <c r="D402" s="1" t="s">
        <v>24</v>
      </c>
      <c r="E402" s="1" t="s">
        <v>86</v>
      </c>
      <c r="F402" s="1" t="s">
        <v>93</v>
      </c>
      <c r="G402" s="1">
        <v>1</v>
      </c>
      <c r="H402" s="1">
        <v>1140</v>
      </c>
      <c r="I402" s="1" t="s">
        <v>74</v>
      </c>
      <c r="J402" s="1" t="s">
        <v>81</v>
      </c>
      <c r="K402" s="1">
        <f>Table1[[#This Row],[Quantity]]*Table1[[#This Row],[Unit Price]]</f>
        <v>1140</v>
      </c>
    </row>
    <row r="403" spans="1:11" x14ac:dyDescent="0.4">
      <c r="A403" s="1" t="s">
        <v>496</v>
      </c>
      <c r="B403" s="3">
        <v>46243</v>
      </c>
      <c r="C403" s="1" t="s">
        <v>44</v>
      </c>
      <c r="D403" s="1" t="s">
        <v>22</v>
      </c>
      <c r="E403" s="1" t="s">
        <v>79</v>
      </c>
      <c r="F403" s="1" t="s">
        <v>105</v>
      </c>
      <c r="G403" s="1">
        <v>1</v>
      </c>
      <c r="H403" s="1">
        <v>4620</v>
      </c>
      <c r="I403" s="1" t="s">
        <v>19</v>
      </c>
      <c r="J403" s="1" t="s">
        <v>37</v>
      </c>
      <c r="K403" s="1">
        <f>Table1[[#This Row],[Quantity]]*Table1[[#This Row],[Unit Price]]</f>
        <v>4620</v>
      </c>
    </row>
    <row r="404" spans="1:11" x14ac:dyDescent="0.4">
      <c r="A404" s="1" t="s">
        <v>497</v>
      </c>
      <c r="B404" s="3">
        <v>46139</v>
      </c>
      <c r="C404" s="1" t="s">
        <v>29</v>
      </c>
      <c r="D404" s="1" t="s">
        <v>8</v>
      </c>
      <c r="E404" s="1" t="s">
        <v>10</v>
      </c>
      <c r="F404" s="1" t="s">
        <v>72</v>
      </c>
      <c r="G404" s="1">
        <v>1</v>
      </c>
      <c r="H404" s="1">
        <v>3850</v>
      </c>
      <c r="I404" s="1" t="s">
        <v>11</v>
      </c>
      <c r="J404" s="1" t="s">
        <v>33</v>
      </c>
      <c r="K404" s="1">
        <f>Table1[[#This Row],[Quantity]]*Table1[[#This Row],[Unit Price]]</f>
        <v>3850</v>
      </c>
    </row>
    <row r="405" spans="1:11" x14ac:dyDescent="0.4">
      <c r="A405" s="1" t="s">
        <v>498</v>
      </c>
      <c r="B405" s="3">
        <v>46124</v>
      </c>
      <c r="C405" s="1" t="s">
        <v>44</v>
      </c>
      <c r="D405" s="1" t="s">
        <v>8</v>
      </c>
      <c r="E405" s="1" t="s">
        <v>83</v>
      </c>
      <c r="F405" s="1" t="s">
        <v>122</v>
      </c>
      <c r="G405" s="1">
        <v>2</v>
      </c>
      <c r="H405" s="1">
        <v>850</v>
      </c>
      <c r="I405" s="1" t="s">
        <v>74</v>
      </c>
      <c r="J405" s="1" t="s">
        <v>33</v>
      </c>
      <c r="K405" s="1">
        <f>Table1[[#This Row],[Quantity]]*Table1[[#This Row],[Unit Price]]</f>
        <v>1700</v>
      </c>
    </row>
    <row r="406" spans="1:11" x14ac:dyDescent="0.4">
      <c r="A406" s="1" t="s">
        <v>499</v>
      </c>
      <c r="B406" s="3">
        <v>46195</v>
      </c>
      <c r="C406" s="1" t="s">
        <v>52</v>
      </c>
      <c r="D406" s="1" t="s">
        <v>24</v>
      </c>
      <c r="E406" s="1" t="s">
        <v>23</v>
      </c>
      <c r="F406" s="1" t="s">
        <v>48</v>
      </c>
      <c r="G406" s="1">
        <v>2</v>
      </c>
      <c r="H406" s="1">
        <v>950</v>
      </c>
      <c r="I406" s="1" t="s">
        <v>36</v>
      </c>
      <c r="J406" s="1" t="s">
        <v>30</v>
      </c>
      <c r="K406" s="1">
        <f>Table1[[#This Row],[Quantity]]*Table1[[#This Row],[Unit Price]]</f>
        <v>1900</v>
      </c>
    </row>
    <row r="407" spans="1:11" x14ac:dyDescent="0.4">
      <c r="A407" s="1" t="s">
        <v>500</v>
      </c>
      <c r="B407" s="3">
        <v>46241</v>
      </c>
      <c r="C407" s="1" t="s">
        <v>32</v>
      </c>
      <c r="D407" s="1" t="s">
        <v>21</v>
      </c>
      <c r="E407" s="1" t="s">
        <v>10</v>
      </c>
      <c r="F407" s="1" t="s">
        <v>20</v>
      </c>
      <c r="G407" s="1">
        <v>1</v>
      </c>
      <c r="H407" s="1">
        <v>330</v>
      </c>
      <c r="I407" s="1" t="s">
        <v>11</v>
      </c>
      <c r="J407" s="1" t="s">
        <v>81</v>
      </c>
      <c r="K407" s="1">
        <f>Table1[[#This Row],[Quantity]]*Table1[[#This Row],[Unit Price]]</f>
        <v>330</v>
      </c>
    </row>
    <row r="408" spans="1:11" x14ac:dyDescent="0.4">
      <c r="A408" s="1" t="s">
        <v>501</v>
      </c>
      <c r="B408" s="3">
        <v>46185</v>
      </c>
      <c r="C408" s="1" t="s">
        <v>70</v>
      </c>
      <c r="D408" s="1" t="s">
        <v>8</v>
      </c>
      <c r="E408" s="1" t="s">
        <v>23</v>
      </c>
      <c r="F408" s="1" t="s">
        <v>98</v>
      </c>
      <c r="G408" s="1">
        <v>2</v>
      </c>
      <c r="H408" s="1">
        <v>660</v>
      </c>
      <c r="I408" s="1" t="s">
        <v>36</v>
      </c>
      <c r="J408" s="1" t="s">
        <v>33</v>
      </c>
      <c r="K408" s="1">
        <f>Table1[[#This Row],[Quantity]]*Table1[[#This Row],[Unit Price]]</f>
        <v>1320</v>
      </c>
    </row>
    <row r="409" spans="1:11" x14ac:dyDescent="0.4">
      <c r="A409" s="1" t="s">
        <v>502</v>
      </c>
      <c r="B409" s="3">
        <v>46187</v>
      </c>
      <c r="C409" s="1" t="s">
        <v>70</v>
      </c>
      <c r="D409" s="1" t="s">
        <v>22</v>
      </c>
      <c r="E409" s="1" t="s">
        <v>23</v>
      </c>
      <c r="F409" s="1" t="s">
        <v>98</v>
      </c>
      <c r="G409" s="1">
        <v>4</v>
      </c>
      <c r="H409" s="1">
        <v>600</v>
      </c>
      <c r="I409" s="1" t="s">
        <v>74</v>
      </c>
      <c r="J409" s="1" t="s">
        <v>33</v>
      </c>
      <c r="K409" s="1">
        <f>Table1[[#This Row],[Quantity]]*Table1[[#This Row],[Unit Price]]</f>
        <v>2400</v>
      </c>
    </row>
    <row r="410" spans="1:11" x14ac:dyDescent="0.4">
      <c r="A410" s="1" t="s">
        <v>503</v>
      </c>
      <c r="B410" s="3">
        <v>46252</v>
      </c>
      <c r="C410" s="1" t="s">
        <v>29</v>
      </c>
      <c r="D410" s="1" t="s">
        <v>14</v>
      </c>
      <c r="E410" s="1" t="s">
        <v>23</v>
      </c>
      <c r="F410" s="1" t="s">
        <v>48</v>
      </c>
      <c r="G410" s="1">
        <v>1</v>
      </c>
      <c r="H410" s="1">
        <v>997.5</v>
      </c>
      <c r="I410" s="1" t="s">
        <v>36</v>
      </c>
      <c r="J410" s="1" t="s">
        <v>73</v>
      </c>
      <c r="K410" s="1">
        <f>Table1[[#This Row],[Quantity]]*Table1[[#This Row],[Unit Price]]</f>
        <v>997.5</v>
      </c>
    </row>
    <row r="411" spans="1:11" x14ac:dyDescent="0.4">
      <c r="A411" s="1" t="s">
        <v>504</v>
      </c>
      <c r="B411" s="3">
        <v>46290</v>
      </c>
      <c r="C411" s="1" t="s">
        <v>95</v>
      </c>
      <c r="D411" s="1" t="s">
        <v>21</v>
      </c>
      <c r="E411" s="1" t="s">
        <v>10</v>
      </c>
      <c r="F411" s="1" t="s">
        <v>9</v>
      </c>
      <c r="G411" s="1">
        <v>8</v>
      </c>
      <c r="H411" s="1">
        <v>617.5</v>
      </c>
      <c r="I411" s="1" t="s">
        <v>36</v>
      </c>
      <c r="J411" s="1" t="s">
        <v>30</v>
      </c>
      <c r="K411" s="1">
        <f>Table1[[#This Row],[Quantity]]*Table1[[#This Row],[Unit Price]]</f>
        <v>4940</v>
      </c>
    </row>
    <row r="412" spans="1:11" x14ac:dyDescent="0.4">
      <c r="A412" s="1" t="s">
        <v>505</v>
      </c>
      <c r="B412" s="3">
        <v>46165</v>
      </c>
      <c r="C412" s="1" t="s">
        <v>41</v>
      </c>
      <c r="D412" s="1" t="s">
        <v>12</v>
      </c>
      <c r="E412" s="1" t="s">
        <v>23</v>
      </c>
      <c r="F412" s="1" t="s">
        <v>48</v>
      </c>
      <c r="G412" s="1">
        <v>2</v>
      </c>
      <c r="H412" s="1">
        <v>902.5</v>
      </c>
      <c r="I412" s="1" t="s">
        <v>11</v>
      </c>
      <c r="J412" s="1" t="s">
        <v>30</v>
      </c>
      <c r="K412" s="1">
        <f>Table1[[#This Row],[Quantity]]*Table1[[#This Row],[Unit Price]]</f>
        <v>1805</v>
      </c>
    </row>
    <row r="413" spans="1:11" x14ac:dyDescent="0.4">
      <c r="A413" s="1" t="s">
        <v>506</v>
      </c>
      <c r="B413" s="3">
        <v>46172</v>
      </c>
      <c r="C413" s="1" t="s">
        <v>70</v>
      </c>
      <c r="D413" s="1" t="s">
        <v>24</v>
      </c>
      <c r="E413" s="1" t="s">
        <v>86</v>
      </c>
      <c r="F413" s="1" t="s">
        <v>112</v>
      </c>
      <c r="G413" s="1">
        <v>4</v>
      </c>
      <c r="H413" s="1">
        <v>900</v>
      </c>
      <c r="I413" s="1" t="s">
        <v>11</v>
      </c>
      <c r="J413" s="1" t="s">
        <v>75</v>
      </c>
      <c r="K413" s="1">
        <f>Table1[[#This Row],[Quantity]]*Table1[[#This Row],[Unit Price]]</f>
        <v>3600</v>
      </c>
    </row>
    <row r="414" spans="1:11" x14ac:dyDescent="0.4">
      <c r="A414" s="1" t="s">
        <v>507</v>
      </c>
      <c r="B414" s="3">
        <v>46147</v>
      </c>
      <c r="C414" s="1" t="s">
        <v>32</v>
      </c>
      <c r="D414" s="1" t="s">
        <v>21</v>
      </c>
      <c r="E414" s="1" t="s">
        <v>86</v>
      </c>
      <c r="F414" s="1" t="s">
        <v>89</v>
      </c>
      <c r="G414" s="1">
        <v>1</v>
      </c>
      <c r="H414" s="1">
        <v>770</v>
      </c>
      <c r="I414" s="1" t="s">
        <v>19</v>
      </c>
      <c r="J414" s="1" t="s">
        <v>33</v>
      </c>
      <c r="K414" s="1">
        <f>Table1[[#This Row],[Quantity]]*Table1[[#This Row],[Unit Price]]</f>
        <v>770</v>
      </c>
    </row>
    <row r="415" spans="1:11" x14ac:dyDescent="0.4">
      <c r="A415" s="1" t="s">
        <v>508</v>
      </c>
      <c r="B415" s="3">
        <v>46187</v>
      </c>
      <c r="C415" s="1" t="s">
        <v>76</v>
      </c>
      <c r="D415" s="1" t="s">
        <v>22</v>
      </c>
      <c r="E415" s="1" t="s">
        <v>23</v>
      </c>
      <c r="F415" s="1" t="s">
        <v>53</v>
      </c>
      <c r="G415" s="1">
        <v>5</v>
      </c>
      <c r="H415" s="1">
        <v>577.5</v>
      </c>
      <c r="I415" s="1" t="s">
        <v>36</v>
      </c>
      <c r="J415" s="1" t="s">
        <v>81</v>
      </c>
      <c r="K415" s="1">
        <f>Table1[[#This Row],[Quantity]]*Table1[[#This Row],[Unit Price]]</f>
        <v>2887.5</v>
      </c>
    </row>
    <row r="416" spans="1:11" x14ac:dyDescent="0.4">
      <c r="A416" s="1" t="s">
        <v>509</v>
      </c>
      <c r="B416" s="3">
        <v>46182</v>
      </c>
      <c r="C416" s="1" t="s">
        <v>41</v>
      </c>
      <c r="D416" s="1" t="s">
        <v>24</v>
      </c>
      <c r="E416" s="1" t="s">
        <v>23</v>
      </c>
      <c r="F416" s="1" t="s">
        <v>18</v>
      </c>
      <c r="G416" s="1">
        <v>1</v>
      </c>
      <c r="H416" s="1">
        <v>450</v>
      </c>
      <c r="I416" s="1" t="s">
        <v>19</v>
      </c>
      <c r="J416" s="1" t="s">
        <v>30</v>
      </c>
      <c r="K416" s="1">
        <f>Table1[[#This Row],[Quantity]]*Table1[[#This Row],[Unit Price]]</f>
        <v>450</v>
      </c>
    </row>
    <row r="417" spans="1:11" x14ac:dyDescent="0.4">
      <c r="A417" s="1" t="s">
        <v>510</v>
      </c>
      <c r="B417" s="3">
        <v>46155</v>
      </c>
      <c r="C417" s="1" t="s">
        <v>39</v>
      </c>
      <c r="D417" s="1" t="s">
        <v>22</v>
      </c>
      <c r="E417" s="1" t="s">
        <v>83</v>
      </c>
      <c r="F417" s="1" t="s">
        <v>129</v>
      </c>
      <c r="G417" s="1">
        <v>2</v>
      </c>
      <c r="H417" s="1">
        <v>472.5</v>
      </c>
      <c r="I417" s="1" t="s">
        <v>19</v>
      </c>
      <c r="J417" s="1" t="s">
        <v>81</v>
      </c>
      <c r="K417" s="1">
        <f>Table1[[#This Row],[Quantity]]*Table1[[#This Row],[Unit Price]]</f>
        <v>945</v>
      </c>
    </row>
    <row r="418" spans="1:11" x14ac:dyDescent="0.4">
      <c r="A418" s="1" t="s">
        <v>511</v>
      </c>
      <c r="B418" s="3">
        <v>46191</v>
      </c>
      <c r="C418" s="1" t="s">
        <v>35</v>
      </c>
      <c r="D418" s="1" t="s">
        <v>17</v>
      </c>
      <c r="E418" s="1" t="s">
        <v>83</v>
      </c>
      <c r="F418" s="1" t="s">
        <v>84</v>
      </c>
      <c r="G418" s="1">
        <v>1</v>
      </c>
      <c r="H418" s="1">
        <v>285</v>
      </c>
      <c r="I418" s="1" t="s">
        <v>36</v>
      </c>
      <c r="J418" s="1" t="s">
        <v>73</v>
      </c>
      <c r="K418" s="1">
        <f>Table1[[#This Row],[Quantity]]*Table1[[#This Row],[Unit Price]]</f>
        <v>285</v>
      </c>
    </row>
    <row r="419" spans="1:11" x14ac:dyDescent="0.4">
      <c r="A419" s="1" t="s">
        <v>512</v>
      </c>
      <c r="B419" s="3">
        <v>46291</v>
      </c>
      <c r="C419" s="1" t="s">
        <v>41</v>
      </c>
      <c r="D419" s="1" t="s">
        <v>24</v>
      </c>
      <c r="E419" s="1" t="s">
        <v>10</v>
      </c>
      <c r="F419" s="1" t="s">
        <v>42</v>
      </c>
      <c r="G419" s="1">
        <v>1</v>
      </c>
      <c r="H419" s="1">
        <v>1800</v>
      </c>
      <c r="I419" s="1" t="s">
        <v>19</v>
      </c>
      <c r="J419" s="1" t="s">
        <v>37</v>
      </c>
      <c r="K419" s="1">
        <f>Table1[[#This Row],[Quantity]]*Table1[[#This Row],[Unit Price]]</f>
        <v>1800</v>
      </c>
    </row>
    <row r="420" spans="1:11" x14ac:dyDescent="0.4">
      <c r="A420" s="1" t="s">
        <v>513</v>
      </c>
      <c r="B420" s="3">
        <v>46214</v>
      </c>
      <c r="C420" s="1" t="s">
        <v>160</v>
      </c>
      <c r="D420" s="1" t="s">
        <v>17</v>
      </c>
      <c r="E420" s="1" t="s">
        <v>10</v>
      </c>
      <c r="F420" s="1" t="s">
        <v>20</v>
      </c>
      <c r="G420" s="1">
        <v>3</v>
      </c>
      <c r="H420" s="1">
        <v>300</v>
      </c>
      <c r="I420" s="1" t="s">
        <v>11</v>
      </c>
      <c r="J420" s="1" t="s">
        <v>81</v>
      </c>
      <c r="K420" s="1">
        <f>Table1[[#This Row],[Quantity]]*Table1[[#This Row],[Unit Price]]</f>
        <v>900</v>
      </c>
    </row>
    <row r="421" spans="1:11" x14ac:dyDescent="0.4">
      <c r="A421" s="1" t="s">
        <v>514</v>
      </c>
      <c r="B421" s="3">
        <v>46228</v>
      </c>
      <c r="C421" s="1" t="s">
        <v>148</v>
      </c>
      <c r="D421" s="1" t="s">
        <v>17</v>
      </c>
      <c r="E421" s="1" t="s">
        <v>23</v>
      </c>
      <c r="F421" s="1" t="s">
        <v>48</v>
      </c>
      <c r="G421" s="1">
        <v>1</v>
      </c>
      <c r="H421" s="1">
        <v>902.5</v>
      </c>
      <c r="I421" s="1" t="s">
        <v>11</v>
      </c>
      <c r="J421" s="1" t="s">
        <v>30</v>
      </c>
      <c r="K421" s="1">
        <f>Table1[[#This Row],[Quantity]]*Table1[[#This Row],[Unit Price]]</f>
        <v>902.5</v>
      </c>
    </row>
    <row r="422" spans="1:11" x14ac:dyDescent="0.4">
      <c r="A422" s="1" t="s">
        <v>515</v>
      </c>
      <c r="B422" s="3">
        <v>46128</v>
      </c>
      <c r="C422" s="1" t="s">
        <v>61</v>
      </c>
      <c r="D422" s="1" t="s">
        <v>24</v>
      </c>
      <c r="E422" s="1" t="s">
        <v>23</v>
      </c>
      <c r="F422" s="1" t="s">
        <v>18</v>
      </c>
      <c r="G422" s="1">
        <v>1</v>
      </c>
      <c r="H422" s="1">
        <v>472.5</v>
      </c>
      <c r="I422" s="1" t="s">
        <v>36</v>
      </c>
      <c r="J422" s="1" t="s">
        <v>30</v>
      </c>
      <c r="K422" s="1">
        <f>Table1[[#This Row],[Quantity]]*Table1[[#This Row],[Unit Price]]</f>
        <v>472.5</v>
      </c>
    </row>
    <row r="423" spans="1:11" x14ac:dyDescent="0.4">
      <c r="A423" s="1" t="s">
        <v>516</v>
      </c>
      <c r="B423" s="3">
        <v>46118</v>
      </c>
      <c r="C423" s="1" t="s">
        <v>148</v>
      </c>
      <c r="D423" s="1" t="s">
        <v>17</v>
      </c>
      <c r="E423" s="1" t="s">
        <v>10</v>
      </c>
      <c r="F423" s="1" t="s">
        <v>59</v>
      </c>
      <c r="G423" s="1">
        <v>1</v>
      </c>
      <c r="H423" s="1">
        <v>1470</v>
      </c>
      <c r="I423" s="1" t="s">
        <v>11</v>
      </c>
      <c r="J423" s="1" t="s">
        <v>37</v>
      </c>
      <c r="K423" s="1">
        <f>Table1[[#This Row],[Quantity]]*Table1[[#This Row],[Unit Price]]</f>
        <v>1470</v>
      </c>
    </row>
    <row r="424" spans="1:11" x14ac:dyDescent="0.4">
      <c r="A424" s="1" t="s">
        <v>517</v>
      </c>
      <c r="B424" s="3">
        <v>46144</v>
      </c>
      <c r="C424" s="1" t="s">
        <v>44</v>
      </c>
      <c r="D424" s="1" t="s">
        <v>21</v>
      </c>
      <c r="E424" s="1" t="s">
        <v>10</v>
      </c>
      <c r="F424" s="1" t="s">
        <v>42</v>
      </c>
      <c r="G424" s="1">
        <v>6</v>
      </c>
      <c r="H424" s="1">
        <v>1710</v>
      </c>
      <c r="I424" s="1" t="s">
        <v>74</v>
      </c>
      <c r="J424" s="1" t="s">
        <v>81</v>
      </c>
      <c r="K424" s="1">
        <f>Table1[[#This Row],[Quantity]]*Table1[[#This Row],[Unit Price]]</f>
        <v>10260</v>
      </c>
    </row>
    <row r="425" spans="1:11" x14ac:dyDescent="0.4">
      <c r="A425" s="1" t="s">
        <v>518</v>
      </c>
      <c r="B425" s="3">
        <v>46120</v>
      </c>
      <c r="C425" s="1" t="s">
        <v>61</v>
      </c>
      <c r="D425" s="1" t="s">
        <v>14</v>
      </c>
      <c r="E425" s="1" t="s">
        <v>86</v>
      </c>
      <c r="F425" s="1" t="s">
        <v>87</v>
      </c>
      <c r="G425" s="1">
        <v>3</v>
      </c>
      <c r="H425" s="1">
        <v>1800</v>
      </c>
      <c r="I425" s="1" t="s">
        <v>19</v>
      </c>
      <c r="J425" s="1" t="s">
        <v>37</v>
      </c>
      <c r="K425" s="1">
        <f>Table1[[#This Row],[Quantity]]*Table1[[#This Row],[Unit Price]]</f>
        <v>5400</v>
      </c>
    </row>
    <row r="426" spans="1:11" x14ac:dyDescent="0.4">
      <c r="A426" s="1" t="s">
        <v>519</v>
      </c>
      <c r="B426" s="3">
        <v>46184</v>
      </c>
      <c r="C426" s="1" t="s">
        <v>85</v>
      </c>
      <c r="D426" s="1" t="s">
        <v>14</v>
      </c>
      <c r="E426" s="1" t="s">
        <v>83</v>
      </c>
      <c r="F426" s="1" t="s">
        <v>129</v>
      </c>
      <c r="G426" s="1">
        <v>5</v>
      </c>
      <c r="H426" s="1">
        <v>427.5</v>
      </c>
      <c r="I426" s="1" t="s">
        <v>36</v>
      </c>
      <c r="J426" s="1" t="s">
        <v>81</v>
      </c>
      <c r="K426" s="1">
        <f>Table1[[#This Row],[Quantity]]*Table1[[#This Row],[Unit Price]]</f>
        <v>2137.5</v>
      </c>
    </row>
    <row r="427" spans="1:11" x14ac:dyDescent="0.4">
      <c r="A427" s="1" t="s">
        <v>520</v>
      </c>
      <c r="B427" s="3">
        <v>46218</v>
      </c>
      <c r="C427" s="1" t="s">
        <v>64</v>
      </c>
      <c r="D427" s="1" t="s">
        <v>17</v>
      </c>
      <c r="E427" s="1" t="s">
        <v>83</v>
      </c>
      <c r="F427" s="1" t="s">
        <v>122</v>
      </c>
      <c r="G427" s="1">
        <v>1</v>
      </c>
      <c r="H427" s="1">
        <v>850</v>
      </c>
      <c r="I427" s="1" t="s">
        <v>74</v>
      </c>
      <c r="J427" s="1" t="s">
        <v>33</v>
      </c>
      <c r="K427" s="1">
        <f>Table1[[#This Row],[Quantity]]*Table1[[#This Row],[Unit Price]]</f>
        <v>850</v>
      </c>
    </row>
    <row r="428" spans="1:11" x14ac:dyDescent="0.4">
      <c r="A428" s="1" t="s">
        <v>521</v>
      </c>
      <c r="B428" s="3">
        <v>46277</v>
      </c>
      <c r="C428" s="1" t="s">
        <v>148</v>
      </c>
      <c r="D428" s="1" t="s">
        <v>8</v>
      </c>
      <c r="E428" s="1" t="s">
        <v>23</v>
      </c>
      <c r="F428" s="1" t="s">
        <v>48</v>
      </c>
      <c r="G428" s="1">
        <v>3</v>
      </c>
      <c r="H428" s="1">
        <v>1045</v>
      </c>
      <c r="I428" s="1" t="s">
        <v>74</v>
      </c>
      <c r="J428" s="1" t="s">
        <v>73</v>
      </c>
      <c r="K428" s="1">
        <f>Table1[[#This Row],[Quantity]]*Table1[[#This Row],[Unit Price]]</f>
        <v>3135</v>
      </c>
    </row>
    <row r="429" spans="1:11" x14ac:dyDescent="0.4">
      <c r="A429" s="1" t="s">
        <v>522</v>
      </c>
      <c r="B429" s="3">
        <v>46204</v>
      </c>
      <c r="C429" s="1" t="s">
        <v>61</v>
      </c>
      <c r="D429" s="1" t="s">
        <v>22</v>
      </c>
      <c r="E429" s="1" t="s">
        <v>83</v>
      </c>
      <c r="F429" s="1" t="s">
        <v>122</v>
      </c>
      <c r="G429" s="1">
        <v>3</v>
      </c>
      <c r="H429" s="1">
        <v>892.5</v>
      </c>
      <c r="I429" s="1" t="s">
        <v>74</v>
      </c>
      <c r="J429" s="1" t="s">
        <v>37</v>
      </c>
      <c r="K429" s="1">
        <f>Table1[[#This Row],[Quantity]]*Table1[[#This Row],[Unit Price]]</f>
        <v>2677.5</v>
      </c>
    </row>
    <row r="430" spans="1:11" x14ac:dyDescent="0.4">
      <c r="A430" s="1" t="s">
        <v>523</v>
      </c>
      <c r="B430" s="3">
        <v>46159</v>
      </c>
      <c r="C430" s="1" t="s">
        <v>29</v>
      </c>
      <c r="D430" s="1" t="s">
        <v>12</v>
      </c>
      <c r="E430" s="1" t="s">
        <v>10</v>
      </c>
      <c r="F430" s="1" t="s">
        <v>13</v>
      </c>
      <c r="G430" s="1">
        <v>2</v>
      </c>
      <c r="H430" s="1">
        <v>1200</v>
      </c>
      <c r="I430" s="1" t="s">
        <v>11</v>
      </c>
      <c r="J430" s="1" t="s">
        <v>81</v>
      </c>
      <c r="K430" s="1">
        <f>Table1[[#This Row],[Quantity]]*Table1[[#This Row],[Unit Price]]</f>
        <v>2400</v>
      </c>
    </row>
    <row r="431" spans="1:11" x14ac:dyDescent="0.4">
      <c r="A431" s="1" t="s">
        <v>524</v>
      </c>
      <c r="B431" s="3">
        <v>46248</v>
      </c>
      <c r="C431" s="1" t="s">
        <v>44</v>
      </c>
      <c r="D431" s="1" t="s">
        <v>24</v>
      </c>
      <c r="E431" s="1" t="s">
        <v>79</v>
      </c>
      <c r="F431" s="1" t="s">
        <v>80</v>
      </c>
      <c r="G431" s="1">
        <v>4</v>
      </c>
      <c r="H431" s="1">
        <v>500</v>
      </c>
      <c r="I431" s="1" t="s">
        <v>19</v>
      </c>
      <c r="J431" s="1" t="s">
        <v>73</v>
      </c>
      <c r="K431" s="1">
        <f>Table1[[#This Row],[Quantity]]*Table1[[#This Row],[Unit Price]]</f>
        <v>2000</v>
      </c>
    </row>
    <row r="432" spans="1:11" x14ac:dyDescent="0.4">
      <c r="A432" s="1" t="s">
        <v>525</v>
      </c>
      <c r="B432" s="3">
        <v>46174</v>
      </c>
      <c r="C432" s="1" t="s">
        <v>95</v>
      </c>
      <c r="D432" s="1" t="s">
        <v>14</v>
      </c>
      <c r="E432" s="1" t="s">
        <v>23</v>
      </c>
      <c r="F432" s="1" t="s">
        <v>62</v>
      </c>
      <c r="G432" s="1">
        <v>3</v>
      </c>
      <c r="H432" s="1">
        <v>665</v>
      </c>
      <c r="I432" s="1" t="s">
        <v>74</v>
      </c>
      <c r="J432" s="1" t="s">
        <v>37</v>
      </c>
      <c r="K432" s="1">
        <f>Table1[[#This Row],[Quantity]]*Table1[[#This Row],[Unit Price]]</f>
        <v>1995</v>
      </c>
    </row>
    <row r="433" spans="1:11" x14ac:dyDescent="0.4">
      <c r="A433" s="1" t="s">
        <v>526</v>
      </c>
      <c r="B433" s="3">
        <v>46157</v>
      </c>
      <c r="C433" s="1" t="s">
        <v>148</v>
      </c>
      <c r="D433" s="1" t="s">
        <v>22</v>
      </c>
      <c r="E433" s="1" t="s">
        <v>16</v>
      </c>
      <c r="F433" s="1" t="s">
        <v>65</v>
      </c>
      <c r="G433" s="1">
        <v>1</v>
      </c>
      <c r="H433" s="1">
        <v>150</v>
      </c>
      <c r="I433" s="1" t="s">
        <v>11</v>
      </c>
      <c r="J433" s="1" t="s">
        <v>73</v>
      </c>
      <c r="K433" s="1">
        <f>Table1[[#This Row],[Quantity]]*Table1[[#This Row],[Unit Price]]</f>
        <v>150</v>
      </c>
    </row>
    <row r="434" spans="1:11" x14ac:dyDescent="0.4">
      <c r="A434" s="1" t="s">
        <v>527</v>
      </c>
      <c r="B434" s="3">
        <v>46292</v>
      </c>
      <c r="C434" s="1" t="s">
        <v>41</v>
      </c>
      <c r="D434" s="1" t="s">
        <v>14</v>
      </c>
      <c r="E434" s="1" t="s">
        <v>79</v>
      </c>
      <c r="F434" s="1" t="s">
        <v>80</v>
      </c>
      <c r="G434" s="1">
        <v>6</v>
      </c>
      <c r="H434" s="1">
        <v>550</v>
      </c>
      <c r="I434" s="1" t="s">
        <v>74</v>
      </c>
      <c r="J434" s="1" t="s">
        <v>75</v>
      </c>
      <c r="K434" s="1">
        <f>Table1[[#This Row],[Quantity]]*Table1[[#This Row],[Unit Price]]</f>
        <v>3300</v>
      </c>
    </row>
    <row r="435" spans="1:11" x14ac:dyDescent="0.4">
      <c r="A435" s="1" t="s">
        <v>528</v>
      </c>
      <c r="B435" s="3">
        <v>46192</v>
      </c>
      <c r="C435" s="1" t="s">
        <v>32</v>
      </c>
      <c r="D435" s="1" t="s">
        <v>14</v>
      </c>
      <c r="E435" s="1" t="s">
        <v>16</v>
      </c>
      <c r="F435" s="1" t="s">
        <v>65</v>
      </c>
      <c r="G435" s="1">
        <v>2</v>
      </c>
      <c r="H435" s="1">
        <v>142.5</v>
      </c>
      <c r="I435" s="1" t="s">
        <v>19</v>
      </c>
      <c r="J435" s="1" t="s">
        <v>30</v>
      </c>
      <c r="K435" s="1">
        <f>Table1[[#This Row],[Quantity]]*Table1[[#This Row],[Unit Price]]</f>
        <v>285</v>
      </c>
    </row>
    <row r="436" spans="1:11" x14ac:dyDescent="0.4">
      <c r="A436" s="1" t="s">
        <v>529</v>
      </c>
      <c r="B436" s="3">
        <v>46247</v>
      </c>
      <c r="C436" s="1" t="s">
        <v>47</v>
      </c>
      <c r="D436" s="1" t="s">
        <v>17</v>
      </c>
      <c r="E436" s="1" t="s">
        <v>83</v>
      </c>
      <c r="F436" s="1" t="s">
        <v>122</v>
      </c>
      <c r="G436" s="1">
        <v>1</v>
      </c>
      <c r="H436" s="1">
        <v>935</v>
      </c>
      <c r="I436" s="1" t="s">
        <v>36</v>
      </c>
      <c r="J436" s="1" t="s">
        <v>73</v>
      </c>
      <c r="K436" s="1">
        <f>Table1[[#This Row],[Quantity]]*Table1[[#This Row],[Unit Price]]</f>
        <v>935</v>
      </c>
    </row>
    <row r="437" spans="1:11" x14ac:dyDescent="0.4">
      <c r="A437" s="1" t="s">
        <v>530</v>
      </c>
      <c r="B437" s="3">
        <v>46158</v>
      </c>
      <c r="C437" s="1" t="s">
        <v>30</v>
      </c>
      <c r="D437" s="1" t="s">
        <v>17</v>
      </c>
      <c r="E437" s="1" t="s">
        <v>79</v>
      </c>
      <c r="F437" s="1" t="s">
        <v>88</v>
      </c>
      <c r="G437" s="1">
        <v>1</v>
      </c>
      <c r="H437" s="1">
        <v>6500</v>
      </c>
      <c r="I437" s="1" t="s">
        <v>11</v>
      </c>
      <c r="J437" s="1" t="s">
        <v>75</v>
      </c>
      <c r="K437" s="1">
        <f>Table1[[#This Row],[Quantity]]*Table1[[#This Row],[Unit Price]]</f>
        <v>6500</v>
      </c>
    </row>
    <row r="438" spans="1:11" x14ac:dyDescent="0.4">
      <c r="A438" s="1" t="s">
        <v>531</v>
      </c>
      <c r="B438" s="3">
        <v>46206</v>
      </c>
      <c r="C438" s="1" t="s">
        <v>30</v>
      </c>
      <c r="D438" s="1" t="s">
        <v>24</v>
      </c>
      <c r="E438" s="1" t="s">
        <v>10</v>
      </c>
      <c r="F438" s="1" t="s">
        <v>59</v>
      </c>
      <c r="G438" s="1">
        <v>2</v>
      </c>
      <c r="H438" s="1">
        <v>1470</v>
      </c>
      <c r="I438" s="1" t="s">
        <v>36</v>
      </c>
      <c r="J438" s="1" t="s">
        <v>37</v>
      </c>
      <c r="K438" s="1">
        <f>Table1[[#This Row],[Quantity]]*Table1[[#This Row],[Unit Price]]</f>
        <v>2940</v>
      </c>
    </row>
    <row r="439" spans="1:11" x14ac:dyDescent="0.4">
      <c r="A439" s="1" t="s">
        <v>532</v>
      </c>
      <c r="B439" s="3">
        <v>46195</v>
      </c>
      <c r="C439" s="1" t="s">
        <v>148</v>
      </c>
      <c r="D439" s="1" t="s">
        <v>25</v>
      </c>
      <c r="E439" s="1" t="s">
        <v>16</v>
      </c>
      <c r="F439" s="1" t="s">
        <v>15</v>
      </c>
      <c r="G439" s="1">
        <v>8</v>
      </c>
      <c r="H439" s="1">
        <v>126</v>
      </c>
      <c r="I439" s="1" t="s">
        <v>36</v>
      </c>
      <c r="J439" s="1" t="s">
        <v>33</v>
      </c>
      <c r="K439" s="1">
        <f>Table1[[#This Row],[Quantity]]*Table1[[#This Row],[Unit Price]]</f>
        <v>1008</v>
      </c>
    </row>
    <row r="440" spans="1:11" x14ac:dyDescent="0.4">
      <c r="A440" s="1" t="s">
        <v>533</v>
      </c>
      <c r="B440" s="3">
        <v>46294</v>
      </c>
      <c r="C440" s="1" t="s">
        <v>160</v>
      </c>
      <c r="D440" s="1" t="s">
        <v>17</v>
      </c>
      <c r="E440" s="1" t="s">
        <v>79</v>
      </c>
      <c r="F440" s="1" t="s">
        <v>80</v>
      </c>
      <c r="G440" s="1">
        <v>1</v>
      </c>
      <c r="H440" s="1">
        <v>550</v>
      </c>
      <c r="I440" s="1" t="s">
        <v>74</v>
      </c>
      <c r="J440" s="1" t="s">
        <v>37</v>
      </c>
      <c r="K440" s="1">
        <f>Table1[[#This Row],[Quantity]]*Table1[[#This Row],[Unit Price]]</f>
        <v>550</v>
      </c>
    </row>
    <row r="441" spans="1:11" x14ac:dyDescent="0.4">
      <c r="A441" s="1" t="s">
        <v>534</v>
      </c>
      <c r="B441" s="3">
        <v>46289</v>
      </c>
      <c r="C441" s="1" t="s">
        <v>76</v>
      </c>
      <c r="D441" s="1" t="s">
        <v>21</v>
      </c>
      <c r="E441" s="1" t="s">
        <v>23</v>
      </c>
      <c r="F441" s="1" t="s">
        <v>71</v>
      </c>
      <c r="G441" s="1">
        <v>1</v>
      </c>
      <c r="H441" s="1">
        <v>760</v>
      </c>
      <c r="I441" s="1" t="s">
        <v>11</v>
      </c>
      <c r="J441" s="1" t="s">
        <v>33</v>
      </c>
      <c r="K441" s="1">
        <f>Table1[[#This Row],[Quantity]]*Table1[[#This Row],[Unit Price]]</f>
        <v>760</v>
      </c>
    </row>
    <row r="442" spans="1:11" x14ac:dyDescent="0.4">
      <c r="A442" s="1" t="s">
        <v>535</v>
      </c>
      <c r="B442" s="3">
        <v>46267</v>
      </c>
      <c r="C442" s="1" t="s">
        <v>50</v>
      </c>
      <c r="D442" s="1" t="s">
        <v>24</v>
      </c>
      <c r="E442" s="1" t="s">
        <v>79</v>
      </c>
      <c r="F442" s="1" t="s">
        <v>88</v>
      </c>
      <c r="G442" s="1">
        <v>6</v>
      </c>
      <c r="H442" s="1">
        <v>7150</v>
      </c>
      <c r="I442" s="1" t="s">
        <v>74</v>
      </c>
      <c r="J442" s="1" t="s">
        <v>33</v>
      </c>
      <c r="K442" s="1">
        <f>Table1[[#This Row],[Quantity]]*Table1[[#This Row],[Unit Price]]</f>
        <v>42900</v>
      </c>
    </row>
    <row r="443" spans="1:11" x14ac:dyDescent="0.4">
      <c r="A443" s="1" t="s">
        <v>536</v>
      </c>
      <c r="B443" s="3">
        <v>46197</v>
      </c>
      <c r="C443" s="1" t="s">
        <v>44</v>
      </c>
      <c r="D443" s="1" t="s">
        <v>24</v>
      </c>
      <c r="E443" s="1" t="s">
        <v>10</v>
      </c>
      <c r="F443" s="1" t="s">
        <v>59</v>
      </c>
      <c r="G443" s="1">
        <v>1</v>
      </c>
      <c r="H443" s="1">
        <v>1400</v>
      </c>
      <c r="I443" s="1" t="s">
        <v>36</v>
      </c>
      <c r="J443" s="1" t="s">
        <v>81</v>
      </c>
      <c r="K443" s="1">
        <f>Table1[[#This Row],[Quantity]]*Table1[[#This Row],[Unit Price]]</f>
        <v>1400</v>
      </c>
    </row>
    <row r="444" spans="1:11" x14ac:dyDescent="0.4">
      <c r="A444" s="1" t="s">
        <v>537</v>
      </c>
      <c r="B444" s="3">
        <v>46115</v>
      </c>
      <c r="C444" s="1" t="s">
        <v>61</v>
      </c>
      <c r="D444" s="1" t="s">
        <v>12</v>
      </c>
      <c r="E444" s="1" t="s">
        <v>23</v>
      </c>
      <c r="F444" s="1" t="s">
        <v>53</v>
      </c>
      <c r="G444" s="1">
        <v>1</v>
      </c>
      <c r="H444" s="1">
        <v>522.5</v>
      </c>
      <c r="I444" s="1" t="s">
        <v>11</v>
      </c>
      <c r="J444" s="1" t="s">
        <v>73</v>
      </c>
      <c r="K444" s="1">
        <f>Table1[[#This Row],[Quantity]]*Table1[[#This Row],[Unit Price]]</f>
        <v>522.5</v>
      </c>
    </row>
    <row r="445" spans="1:11" x14ac:dyDescent="0.4">
      <c r="A445" s="1" t="s">
        <v>538</v>
      </c>
      <c r="B445" s="3">
        <v>46113</v>
      </c>
      <c r="C445" s="1" t="s">
        <v>44</v>
      </c>
      <c r="D445" s="1" t="s">
        <v>21</v>
      </c>
      <c r="E445" s="1" t="s">
        <v>10</v>
      </c>
      <c r="F445" s="1" t="s">
        <v>20</v>
      </c>
      <c r="G445" s="1">
        <v>2</v>
      </c>
      <c r="H445" s="1">
        <v>315</v>
      </c>
      <c r="I445" s="1" t="s">
        <v>74</v>
      </c>
      <c r="J445" s="1" t="s">
        <v>81</v>
      </c>
      <c r="K445" s="1">
        <f>Table1[[#This Row],[Quantity]]*Table1[[#This Row],[Unit Price]]</f>
        <v>630</v>
      </c>
    </row>
    <row r="446" spans="1:11" x14ac:dyDescent="0.4">
      <c r="A446" s="1" t="s">
        <v>539</v>
      </c>
      <c r="B446" s="3">
        <v>46202</v>
      </c>
      <c r="C446" s="1" t="s">
        <v>148</v>
      </c>
      <c r="D446" s="1" t="s">
        <v>14</v>
      </c>
      <c r="E446" s="1" t="s">
        <v>86</v>
      </c>
      <c r="F446" s="1" t="s">
        <v>87</v>
      </c>
      <c r="G446" s="1">
        <v>1</v>
      </c>
      <c r="H446" s="1">
        <v>1890</v>
      </c>
      <c r="I446" s="1" t="s">
        <v>19</v>
      </c>
      <c r="J446" s="1" t="s">
        <v>81</v>
      </c>
      <c r="K446" s="1">
        <f>Table1[[#This Row],[Quantity]]*Table1[[#This Row],[Unit Price]]</f>
        <v>1890</v>
      </c>
    </row>
    <row r="447" spans="1:11" x14ac:dyDescent="0.4">
      <c r="A447" s="1" t="s">
        <v>540</v>
      </c>
      <c r="B447" s="3">
        <v>46131</v>
      </c>
      <c r="C447" s="1" t="s">
        <v>52</v>
      </c>
      <c r="D447" s="1" t="s">
        <v>24</v>
      </c>
      <c r="E447" s="1" t="s">
        <v>10</v>
      </c>
      <c r="F447" s="1" t="s">
        <v>42</v>
      </c>
      <c r="G447" s="1">
        <v>2</v>
      </c>
      <c r="H447" s="1">
        <v>1800</v>
      </c>
      <c r="I447" s="1" t="s">
        <v>11</v>
      </c>
      <c r="J447" s="1" t="s">
        <v>37</v>
      </c>
      <c r="K447" s="1">
        <f>Table1[[#This Row],[Quantity]]*Table1[[#This Row],[Unit Price]]</f>
        <v>3600</v>
      </c>
    </row>
    <row r="448" spans="1:11" x14ac:dyDescent="0.4">
      <c r="A448" s="1" t="s">
        <v>541</v>
      </c>
      <c r="B448" s="3">
        <v>46156</v>
      </c>
      <c r="C448" s="1" t="s">
        <v>102</v>
      </c>
      <c r="D448" s="1" t="s">
        <v>24</v>
      </c>
      <c r="E448" s="1" t="s">
        <v>86</v>
      </c>
      <c r="F448" s="1" t="s">
        <v>87</v>
      </c>
      <c r="G448" s="1">
        <v>1</v>
      </c>
      <c r="H448" s="1">
        <v>1710</v>
      </c>
      <c r="I448" s="1" t="s">
        <v>36</v>
      </c>
      <c r="J448" s="1" t="s">
        <v>75</v>
      </c>
      <c r="K448" s="1">
        <f>Table1[[#This Row],[Quantity]]*Table1[[#This Row],[Unit Price]]</f>
        <v>1710</v>
      </c>
    </row>
    <row r="449" spans="1:11" x14ac:dyDescent="0.4">
      <c r="A449" s="1" t="s">
        <v>542</v>
      </c>
      <c r="B449" s="3">
        <v>46270</v>
      </c>
      <c r="C449" s="1" t="s">
        <v>190</v>
      </c>
      <c r="D449" s="1" t="s">
        <v>17</v>
      </c>
      <c r="E449" s="1" t="s">
        <v>83</v>
      </c>
      <c r="F449" s="1" t="s">
        <v>122</v>
      </c>
      <c r="G449" s="1">
        <v>4</v>
      </c>
      <c r="H449" s="1">
        <v>892.5</v>
      </c>
      <c r="I449" s="1" t="s">
        <v>74</v>
      </c>
      <c r="J449" s="1" t="s">
        <v>33</v>
      </c>
      <c r="K449" s="1">
        <f>Table1[[#This Row],[Quantity]]*Table1[[#This Row],[Unit Price]]</f>
        <v>3570</v>
      </c>
    </row>
    <row r="450" spans="1:11" x14ac:dyDescent="0.4">
      <c r="A450" s="1" t="s">
        <v>543</v>
      </c>
      <c r="B450" s="3">
        <v>46126</v>
      </c>
      <c r="C450" s="1" t="s">
        <v>67</v>
      </c>
      <c r="D450" s="1" t="s">
        <v>12</v>
      </c>
      <c r="E450" s="1" t="s">
        <v>10</v>
      </c>
      <c r="F450" s="1" t="s">
        <v>115</v>
      </c>
      <c r="G450" s="1">
        <v>2</v>
      </c>
      <c r="H450" s="1">
        <v>2200</v>
      </c>
      <c r="I450" s="1" t="s">
        <v>36</v>
      </c>
      <c r="J450" s="1" t="s">
        <v>37</v>
      </c>
      <c r="K450" s="1">
        <f>Table1[[#This Row],[Quantity]]*Table1[[#This Row],[Unit Price]]</f>
        <v>4400</v>
      </c>
    </row>
    <row r="451" spans="1:11" x14ac:dyDescent="0.4">
      <c r="A451" s="1" t="s">
        <v>544</v>
      </c>
      <c r="B451" s="3">
        <v>46173</v>
      </c>
      <c r="C451" s="1" t="s">
        <v>102</v>
      </c>
      <c r="D451" s="1" t="s">
        <v>25</v>
      </c>
      <c r="E451" s="1" t="s">
        <v>10</v>
      </c>
      <c r="F451" s="1" t="s">
        <v>115</v>
      </c>
      <c r="G451" s="1">
        <v>1</v>
      </c>
      <c r="H451" s="1">
        <v>2420</v>
      </c>
      <c r="I451" s="1" t="s">
        <v>19</v>
      </c>
      <c r="J451" s="1" t="s">
        <v>30</v>
      </c>
      <c r="K451" s="1">
        <f>Table1[[#This Row],[Quantity]]*Table1[[#This Row],[Unit Price]]</f>
        <v>2420</v>
      </c>
    </row>
    <row r="452" spans="1:11" x14ac:dyDescent="0.4">
      <c r="A452" s="1" t="s">
        <v>545</v>
      </c>
      <c r="B452" s="3">
        <v>46205</v>
      </c>
      <c r="C452" s="1" t="s">
        <v>160</v>
      </c>
      <c r="D452" s="1" t="s">
        <v>25</v>
      </c>
      <c r="E452" s="1" t="s">
        <v>10</v>
      </c>
      <c r="F452" s="1" t="s">
        <v>9</v>
      </c>
      <c r="G452" s="1">
        <v>2</v>
      </c>
      <c r="H452" s="1">
        <v>650</v>
      </c>
      <c r="I452" s="1" t="s">
        <v>19</v>
      </c>
      <c r="J452" s="1" t="s">
        <v>30</v>
      </c>
      <c r="K452" s="1">
        <f>Table1[[#This Row],[Quantity]]*Table1[[#This Row],[Unit Price]]</f>
        <v>1300</v>
      </c>
    </row>
    <row r="453" spans="1:11" x14ac:dyDescent="0.4">
      <c r="A453" s="1" t="s">
        <v>546</v>
      </c>
      <c r="B453" s="3">
        <v>46119</v>
      </c>
      <c r="C453" s="1" t="s">
        <v>35</v>
      </c>
      <c r="D453" s="1" t="s">
        <v>25</v>
      </c>
      <c r="E453" s="1" t="s">
        <v>16</v>
      </c>
      <c r="F453" s="1" t="s">
        <v>77</v>
      </c>
      <c r="G453" s="1">
        <v>1</v>
      </c>
      <c r="H453" s="1">
        <v>250</v>
      </c>
      <c r="I453" s="1" t="s">
        <v>11</v>
      </c>
      <c r="J453" s="1" t="s">
        <v>37</v>
      </c>
      <c r="K453" s="1">
        <f>Table1[[#This Row],[Quantity]]*Table1[[#This Row],[Unit Price]]</f>
        <v>250</v>
      </c>
    </row>
    <row r="454" spans="1:11" x14ac:dyDescent="0.4">
      <c r="A454" s="1" t="s">
        <v>547</v>
      </c>
      <c r="B454" s="3">
        <v>46214</v>
      </c>
      <c r="C454" s="1" t="s">
        <v>35</v>
      </c>
      <c r="D454" s="1" t="s">
        <v>21</v>
      </c>
      <c r="E454" s="1" t="s">
        <v>83</v>
      </c>
      <c r="F454" s="1" t="s">
        <v>122</v>
      </c>
      <c r="G454" s="1">
        <v>2</v>
      </c>
      <c r="H454" s="1">
        <v>850</v>
      </c>
      <c r="I454" s="1" t="s">
        <v>19</v>
      </c>
      <c r="J454" s="1" t="s">
        <v>37</v>
      </c>
      <c r="K454" s="1">
        <f>Table1[[#This Row],[Quantity]]*Table1[[#This Row],[Unit Price]]</f>
        <v>1700</v>
      </c>
    </row>
    <row r="455" spans="1:11" x14ac:dyDescent="0.4">
      <c r="A455" s="1" t="s">
        <v>548</v>
      </c>
      <c r="B455" s="3">
        <v>46210</v>
      </c>
      <c r="C455" s="1" t="s">
        <v>52</v>
      </c>
      <c r="D455" s="1" t="s">
        <v>25</v>
      </c>
      <c r="E455" s="1" t="s">
        <v>79</v>
      </c>
      <c r="F455" s="1" t="s">
        <v>105</v>
      </c>
      <c r="G455" s="1">
        <v>1</v>
      </c>
      <c r="H455" s="1">
        <v>3990</v>
      </c>
      <c r="I455" s="1" t="s">
        <v>74</v>
      </c>
      <c r="J455" s="1" t="s">
        <v>37</v>
      </c>
      <c r="K455" s="1">
        <f>Table1[[#This Row],[Quantity]]*Table1[[#This Row],[Unit Price]]</f>
        <v>3990</v>
      </c>
    </row>
    <row r="456" spans="1:11" x14ac:dyDescent="0.4">
      <c r="A456" s="1" t="s">
        <v>549</v>
      </c>
      <c r="B456" s="3">
        <v>46170</v>
      </c>
      <c r="C456" s="1" t="s">
        <v>95</v>
      </c>
      <c r="D456" s="1" t="s">
        <v>24</v>
      </c>
      <c r="E456" s="1" t="s">
        <v>23</v>
      </c>
      <c r="F456" s="1" t="s">
        <v>62</v>
      </c>
      <c r="G456" s="1">
        <v>3</v>
      </c>
      <c r="H456" s="1">
        <v>700</v>
      </c>
      <c r="I456" s="1" t="s">
        <v>11</v>
      </c>
      <c r="J456" s="1" t="s">
        <v>73</v>
      </c>
      <c r="K456" s="1">
        <f>Table1[[#This Row],[Quantity]]*Table1[[#This Row],[Unit Price]]</f>
        <v>2100</v>
      </c>
    </row>
    <row r="457" spans="1:11" x14ac:dyDescent="0.4">
      <c r="A457" s="1" t="s">
        <v>550</v>
      </c>
      <c r="B457" s="3">
        <v>46201</v>
      </c>
      <c r="C457" s="1" t="s">
        <v>50</v>
      </c>
      <c r="D457" s="1" t="s">
        <v>8</v>
      </c>
      <c r="E457" s="1" t="s">
        <v>86</v>
      </c>
      <c r="F457" s="1" t="s">
        <v>112</v>
      </c>
      <c r="G457" s="1">
        <v>8</v>
      </c>
      <c r="H457" s="1">
        <v>990</v>
      </c>
      <c r="I457" s="1" t="s">
        <v>74</v>
      </c>
      <c r="J457" s="1" t="s">
        <v>75</v>
      </c>
      <c r="K457" s="1">
        <f>Table1[[#This Row],[Quantity]]*Table1[[#This Row],[Unit Price]]</f>
        <v>7920</v>
      </c>
    </row>
    <row r="458" spans="1:11" x14ac:dyDescent="0.4">
      <c r="A458" s="1" t="s">
        <v>551</v>
      </c>
      <c r="B458" s="3">
        <v>46220</v>
      </c>
      <c r="C458" s="1" t="s">
        <v>153</v>
      </c>
      <c r="D458" s="1" t="s">
        <v>12</v>
      </c>
      <c r="E458" s="1" t="s">
        <v>83</v>
      </c>
      <c r="F458" s="1" t="s">
        <v>122</v>
      </c>
      <c r="G458" s="1">
        <v>3</v>
      </c>
      <c r="H458" s="1">
        <v>850</v>
      </c>
      <c r="I458" s="1" t="s">
        <v>11</v>
      </c>
      <c r="J458" s="1" t="s">
        <v>81</v>
      </c>
      <c r="K458" s="1">
        <f>Table1[[#This Row],[Quantity]]*Table1[[#This Row],[Unit Price]]</f>
        <v>2550</v>
      </c>
    </row>
    <row r="459" spans="1:11" x14ac:dyDescent="0.4">
      <c r="A459" s="1" t="s">
        <v>552</v>
      </c>
      <c r="B459" s="3">
        <v>46295</v>
      </c>
      <c r="C459" s="1" t="s">
        <v>148</v>
      </c>
      <c r="D459" s="1" t="s">
        <v>17</v>
      </c>
      <c r="E459" s="1" t="s">
        <v>10</v>
      </c>
      <c r="F459" s="1" t="s">
        <v>42</v>
      </c>
      <c r="G459" s="1">
        <v>2</v>
      </c>
      <c r="H459" s="1">
        <v>1980</v>
      </c>
      <c r="I459" s="1" t="s">
        <v>11</v>
      </c>
      <c r="J459" s="1" t="s">
        <v>81</v>
      </c>
      <c r="K459" s="1">
        <f>Table1[[#This Row],[Quantity]]*Table1[[#This Row],[Unit Price]]</f>
        <v>3960</v>
      </c>
    </row>
    <row r="460" spans="1:11" x14ac:dyDescent="0.4">
      <c r="A460" s="1" t="s">
        <v>553</v>
      </c>
      <c r="B460" s="3">
        <v>46157</v>
      </c>
      <c r="C460" s="1" t="s">
        <v>41</v>
      </c>
      <c r="D460" s="1" t="s">
        <v>8</v>
      </c>
      <c r="E460" s="1" t="s">
        <v>16</v>
      </c>
      <c r="F460" s="1" t="s">
        <v>56</v>
      </c>
      <c r="G460" s="1">
        <v>8</v>
      </c>
      <c r="H460" s="1">
        <v>200</v>
      </c>
      <c r="I460" s="1" t="s">
        <v>74</v>
      </c>
      <c r="J460" s="1" t="s">
        <v>30</v>
      </c>
      <c r="K460" s="1">
        <f>Table1[[#This Row],[Quantity]]*Table1[[#This Row],[Unit Price]]</f>
        <v>1600</v>
      </c>
    </row>
    <row r="461" spans="1:11" x14ac:dyDescent="0.4">
      <c r="A461" s="1" t="s">
        <v>554</v>
      </c>
      <c r="B461" s="3">
        <v>46287</v>
      </c>
      <c r="C461" s="1" t="s">
        <v>160</v>
      </c>
      <c r="D461" s="1" t="s">
        <v>12</v>
      </c>
      <c r="E461" s="1" t="s">
        <v>86</v>
      </c>
      <c r="F461" s="1" t="s">
        <v>93</v>
      </c>
      <c r="G461" s="1">
        <v>1</v>
      </c>
      <c r="H461" s="1">
        <v>1200</v>
      </c>
      <c r="I461" s="1" t="s">
        <v>36</v>
      </c>
      <c r="J461" s="1" t="s">
        <v>73</v>
      </c>
      <c r="K461" s="1">
        <f>Table1[[#This Row],[Quantity]]*Table1[[#This Row],[Unit Price]]</f>
        <v>1200</v>
      </c>
    </row>
    <row r="462" spans="1:11" x14ac:dyDescent="0.4">
      <c r="A462" s="1" t="s">
        <v>555</v>
      </c>
      <c r="B462" s="3">
        <v>46130</v>
      </c>
      <c r="C462" s="1" t="s">
        <v>102</v>
      </c>
      <c r="D462" s="1" t="s">
        <v>22</v>
      </c>
      <c r="E462" s="1" t="s">
        <v>10</v>
      </c>
      <c r="F462" s="1" t="s">
        <v>68</v>
      </c>
      <c r="G462" s="1">
        <v>2</v>
      </c>
      <c r="H462" s="1">
        <v>2625</v>
      </c>
      <c r="I462" s="1" t="s">
        <v>36</v>
      </c>
      <c r="J462" s="1" t="s">
        <v>75</v>
      </c>
      <c r="K462" s="1">
        <f>Table1[[#This Row],[Quantity]]*Table1[[#This Row],[Unit Price]]</f>
        <v>5250</v>
      </c>
    </row>
    <row r="463" spans="1:11" x14ac:dyDescent="0.4">
      <c r="A463" s="1" t="s">
        <v>556</v>
      </c>
      <c r="B463" s="3">
        <v>46230</v>
      </c>
      <c r="C463" s="1" t="s">
        <v>30</v>
      </c>
      <c r="D463" s="1" t="s">
        <v>21</v>
      </c>
      <c r="E463" s="1" t="s">
        <v>10</v>
      </c>
      <c r="F463" s="1" t="s">
        <v>9</v>
      </c>
      <c r="G463" s="1">
        <v>4</v>
      </c>
      <c r="H463" s="1">
        <v>715</v>
      </c>
      <c r="I463" s="1" t="s">
        <v>11</v>
      </c>
      <c r="J463" s="1" t="s">
        <v>81</v>
      </c>
      <c r="K463" s="1">
        <f>Table1[[#This Row],[Quantity]]*Table1[[#This Row],[Unit Price]]</f>
        <v>2860</v>
      </c>
    </row>
    <row r="464" spans="1:11" x14ac:dyDescent="0.4">
      <c r="A464" s="1" t="s">
        <v>557</v>
      </c>
      <c r="B464" s="3">
        <v>46151</v>
      </c>
      <c r="C464" s="1" t="s">
        <v>95</v>
      </c>
      <c r="D464" s="1" t="s">
        <v>24</v>
      </c>
      <c r="E464" s="1" t="s">
        <v>16</v>
      </c>
      <c r="F464" s="1" t="s">
        <v>45</v>
      </c>
      <c r="G464" s="1">
        <v>3</v>
      </c>
      <c r="H464" s="1">
        <v>88</v>
      </c>
      <c r="I464" s="1" t="s">
        <v>11</v>
      </c>
      <c r="J464" s="1" t="s">
        <v>75</v>
      </c>
      <c r="K464" s="1">
        <f>Table1[[#This Row],[Quantity]]*Table1[[#This Row],[Unit Price]]</f>
        <v>264</v>
      </c>
    </row>
    <row r="465" spans="1:11" x14ac:dyDescent="0.4">
      <c r="A465" s="1" t="s">
        <v>558</v>
      </c>
      <c r="B465" s="3">
        <v>46138</v>
      </c>
      <c r="C465" s="1" t="s">
        <v>82</v>
      </c>
      <c r="D465" s="1" t="s">
        <v>21</v>
      </c>
      <c r="E465" s="1" t="s">
        <v>23</v>
      </c>
      <c r="F465" s="1" t="s">
        <v>71</v>
      </c>
      <c r="G465" s="1">
        <v>5</v>
      </c>
      <c r="H465" s="1">
        <v>800</v>
      </c>
      <c r="I465" s="1" t="s">
        <v>36</v>
      </c>
      <c r="J465" s="1" t="s">
        <v>81</v>
      </c>
      <c r="K465" s="1">
        <f>Table1[[#This Row],[Quantity]]*Table1[[#This Row],[Unit Price]]</f>
        <v>4000</v>
      </c>
    </row>
    <row r="466" spans="1:11" x14ac:dyDescent="0.4">
      <c r="A466" s="1" t="s">
        <v>559</v>
      </c>
      <c r="B466" s="3">
        <v>46280</v>
      </c>
      <c r="C466" s="1" t="s">
        <v>32</v>
      </c>
      <c r="D466" s="1" t="s">
        <v>17</v>
      </c>
      <c r="E466" s="1" t="s">
        <v>83</v>
      </c>
      <c r="F466" s="1" t="s">
        <v>91</v>
      </c>
      <c r="G466" s="1">
        <v>3</v>
      </c>
      <c r="H466" s="1">
        <v>262.5</v>
      </c>
      <c r="I466" s="1" t="s">
        <v>36</v>
      </c>
      <c r="J466" s="1" t="s">
        <v>81</v>
      </c>
      <c r="K466" s="1">
        <f>Table1[[#This Row],[Quantity]]*Table1[[#This Row],[Unit Price]]</f>
        <v>787.5</v>
      </c>
    </row>
    <row r="467" spans="1:11" x14ac:dyDescent="0.4">
      <c r="A467" s="1" t="s">
        <v>560</v>
      </c>
      <c r="B467" s="3">
        <v>46149</v>
      </c>
      <c r="C467" s="1" t="s">
        <v>76</v>
      </c>
      <c r="D467" s="1" t="s">
        <v>14</v>
      </c>
      <c r="E467" s="1" t="s">
        <v>86</v>
      </c>
      <c r="F467" s="1" t="s">
        <v>89</v>
      </c>
      <c r="G467" s="1">
        <v>1</v>
      </c>
      <c r="H467" s="1">
        <v>700</v>
      </c>
      <c r="I467" s="1" t="s">
        <v>11</v>
      </c>
      <c r="J467" s="1" t="s">
        <v>73</v>
      </c>
      <c r="K467" s="1">
        <f>Table1[[#This Row],[Quantity]]*Table1[[#This Row],[Unit Price]]</f>
        <v>700</v>
      </c>
    </row>
    <row r="468" spans="1:11" x14ac:dyDescent="0.4">
      <c r="A468" s="1" t="s">
        <v>561</v>
      </c>
      <c r="B468" s="3">
        <v>46234</v>
      </c>
      <c r="C468" s="1" t="s">
        <v>58</v>
      </c>
      <c r="D468" s="1" t="s">
        <v>12</v>
      </c>
      <c r="E468" s="1" t="s">
        <v>23</v>
      </c>
      <c r="F468" s="1" t="s">
        <v>62</v>
      </c>
      <c r="G468" s="1">
        <v>5</v>
      </c>
      <c r="H468" s="1">
        <v>665</v>
      </c>
      <c r="I468" s="1" t="s">
        <v>36</v>
      </c>
      <c r="J468" s="1" t="s">
        <v>37</v>
      </c>
      <c r="K468" s="1">
        <f>Table1[[#This Row],[Quantity]]*Table1[[#This Row],[Unit Price]]</f>
        <v>3325</v>
      </c>
    </row>
    <row r="469" spans="1:11" x14ac:dyDescent="0.4">
      <c r="A469" s="1" t="s">
        <v>562</v>
      </c>
      <c r="B469" s="3">
        <v>46238</v>
      </c>
      <c r="C469" s="1" t="s">
        <v>41</v>
      </c>
      <c r="D469" s="1" t="s">
        <v>12</v>
      </c>
      <c r="E469" s="1" t="s">
        <v>10</v>
      </c>
      <c r="F469" s="1" t="s">
        <v>115</v>
      </c>
      <c r="G469" s="1">
        <v>8</v>
      </c>
      <c r="H469" s="1">
        <v>2200</v>
      </c>
      <c r="I469" s="1" t="s">
        <v>74</v>
      </c>
      <c r="J469" s="1" t="s">
        <v>37</v>
      </c>
      <c r="K469" s="1">
        <f>Table1[[#This Row],[Quantity]]*Table1[[#This Row],[Unit Price]]</f>
        <v>17600</v>
      </c>
    </row>
    <row r="470" spans="1:11" x14ac:dyDescent="0.4">
      <c r="A470" s="1" t="s">
        <v>563</v>
      </c>
      <c r="B470" s="3">
        <v>46181</v>
      </c>
      <c r="C470" s="1" t="s">
        <v>47</v>
      </c>
      <c r="D470" s="1" t="s">
        <v>25</v>
      </c>
      <c r="E470" s="1" t="s">
        <v>86</v>
      </c>
      <c r="F470" s="1" t="s">
        <v>112</v>
      </c>
      <c r="G470" s="1">
        <v>3</v>
      </c>
      <c r="H470" s="1">
        <v>855</v>
      </c>
      <c r="I470" s="1" t="s">
        <v>19</v>
      </c>
      <c r="J470" s="1" t="s">
        <v>81</v>
      </c>
      <c r="K470" s="1">
        <f>Table1[[#This Row],[Quantity]]*Table1[[#This Row],[Unit Price]]</f>
        <v>2565</v>
      </c>
    </row>
    <row r="471" spans="1:11" x14ac:dyDescent="0.4">
      <c r="A471" s="1" t="s">
        <v>564</v>
      </c>
      <c r="B471" s="3">
        <v>46237</v>
      </c>
      <c r="C471" s="1" t="s">
        <v>148</v>
      </c>
      <c r="D471" s="1" t="s">
        <v>17</v>
      </c>
      <c r="E471" s="1" t="s">
        <v>79</v>
      </c>
      <c r="F471" s="1" t="s">
        <v>105</v>
      </c>
      <c r="G471" s="1">
        <v>5</v>
      </c>
      <c r="H471" s="1">
        <v>4620</v>
      </c>
      <c r="I471" s="1" t="s">
        <v>11</v>
      </c>
      <c r="J471" s="1" t="s">
        <v>37</v>
      </c>
      <c r="K471" s="1">
        <f>Table1[[#This Row],[Quantity]]*Table1[[#This Row],[Unit Price]]</f>
        <v>23100</v>
      </c>
    </row>
    <row r="472" spans="1:11" x14ac:dyDescent="0.4">
      <c r="A472" s="1" t="s">
        <v>565</v>
      </c>
      <c r="B472" s="3">
        <v>46294</v>
      </c>
      <c r="C472" s="1" t="s">
        <v>82</v>
      </c>
      <c r="D472" s="1" t="s">
        <v>8</v>
      </c>
      <c r="E472" s="1" t="s">
        <v>86</v>
      </c>
      <c r="F472" s="1" t="s">
        <v>89</v>
      </c>
      <c r="G472" s="1">
        <v>1</v>
      </c>
      <c r="H472" s="1">
        <v>770</v>
      </c>
      <c r="I472" s="1" t="s">
        <v>19</v>
      </c>
      <c r="J472" s="1" t="s">
        <v>33</v>
      </c>
      <c r="K472" s="1">
        <f>Table1[[#This Row],[Quantity]]*Table1[[#This Row],[Unit Price]]</f>
        <v>770</v>
      </c>
    </row>
    <row r="473" spans="1:11" x14ac:dyDescent="0.4">
      <c r="A473" s="1" t="s">
        <v>566</v>
      </c>
      <c r="B473" s="3">
        <v>46164</v>
      </c>
      <c r="C473" s="1" t="s">
        <v>32</v>
      </c>
      <c r="D473" s="1" t="s">
        <v>22</v>
      </c>
      <c r="E473" s="1" t="s">
        <v>10</v>
      </c>
      <c r="F473" s="1" t="s">
        <v>20</v>
      </c>
      <c r="G473" s="1">
        <v>1</v>
      </c>
      <c r="H473" s="1">
        <v>315</v>
      </c>
      <c r="I473" s="1" t="s">
        <v>19</v>
      </c>
      <c r="J473" s="1" t="s">
        <v>37</v>
      </c>
      <c r="K473" s="1">
        <f>Table1[[#This Row],[Quantity]]*Table1[[#This Row],[Unit Price]]</f>
        <v>315</v>
      </c>
    </row>
    <row r="474" spans="1:11" x14ac:dyDescent="0.4">
      <c r="A474" s="1" t="s">
        <v>567</v>
      </c>
      <c r="B474" s="3">
        <v>46207</v>
      </c>
      <c r="C474" s="1" t="s">
        <v>111</v>
      </c>
      <c r="D474" s="1" t="s">
        <v>8</v>
      </c>
      <c r="E474" s="1" t="s">
        <v>83</v>
      </c>
      <c r="F474" s="1" t="s">
        <v>84</v>
      </c>
      <c r="G474" s="1">
        <v>2</v>
      </c>
      <c r="H474" s="1">
        <v>285</v>
      </c>
      <c r="I474" s="1" t="s">
        <v>19</v>
      </c>
      <c r="J474" s="1" t="s">
        <v>37</v>
      </c>
      <c r="K474" s="1">
        <f>Table1[[#This Row],[Quantity]]*Table1[[#This Row],[Unit Price]]</f>
        <v>570</v>
      </c>
    </row>
    <row r="475" spans="1:11" x14ac:dyDescent="0.4">
      <c r="A475" s="1" t="s">
        <v>568</v>
      </c>
      <c r="B475" s="3">
        <v>46238</v>
      </c>
      <c r="C475" s="1" t="s">
        <v>30</v>
      </c>
      <c r="D475" s="1" t="s">
        <v>22</v>
      </c>
      <c r="E475" s="1" t="s">
        <v>83</v>
      </c>
      <c r="F475" s="1" t="s">
        <v>129</v>
      </c>
      <c r="G475" s="1">
        <v>1</v>
      </c>
      <c r="H475" s="1">
        <v>472.5</v>
      </c>
      <c r="I475" s="1" t="s">
        <v>36</v>
      </c>
      <c r="J475" s="1" t="s">
        <v>33</v>
      </c>
      <c r="K475" s="1">
        <f>Table1[[#This Row],[Quantity]]*Table1[[#This Row],[Unit Price]]</f>
        <v>472.5</v>
      </c>
    </row>
    <row r="476" spans="1:11" x14ac:dyDescent="0.4">
      <c r="A476" s="1" t="s">
        <v>569</v>
      </c>
      <c r="B476" s="3">
        <v>46179</v>
      </c>
      <c r="C476" s="1" t="s">
        <v>32</v>
      </c>
      <c r="D476" s="1" t="s">
        <v>17</v>
      </c>
      <c r="E476" s="1" t="s">
        <v>10</v>
      </c>
      <c r="F476" s="1" t="s">
        <v>68</v>
      </c>
      <c r="G476" s="1">
        <v>2</v>
      </c>
      <c r="H476" s="1">
        <v>2625</v>
      </c>
      <c r="I476" s="1" t="s">
        <v>19</v>
      </c>
      <c r="J476" s="1" t="s">
        <v>33</v>
      </c>
      <c r="K476" s="1">
        <f>Table1[[#This Row],[Quantity]]*Table1[[#This Row],[Unit Price]]</f>
        <v>5250</v>
      </c>
    </row>
    <row r="477" spans="1:11" x14ac:dyDescent="0.4">
      <c r="A477" s="1" t="s">
        <v>570</v>
      </c>
      <c r="B477" s="3">
        <v>46278</v>
      </c>
      <c r="C477" s="1" t="s">
        <v>190</v>
      </c>
      <c r="D477" s="1" t="s">
        <v>21</v>
      </c>
      <c r="E477" s="1" t="s">
        <v>23</v>
      </c>
      <c r="F477" s="1" t="s">
        <v>18</v>
      </c>
      <c r="G477" s="1">
        <v>3</v>
      </c>
      <c r="H477" s="1">
        <v>450</v>
      </c>
      <c r="I477" s="1" t="s">
        <v>11</v>
      </c>
      <c r="J477" s="1" t="s">
        <v>73</v>
      </c>
      <c r="K477" s="1">
        <f>Table1[[#This Row],[Quantity]]*Table1[[#This Row],[Unit Price]]</f>
        <v>1350</v>
      </c>
    </row>
    <row r="478" spans="1:11" x14ac:dyDescent="0.4">
      <c r="A478" s="1" t="s">
        <v>571</v>
      </c>
      <c r="B478" s="3">
        <v>46115</v>
      </c>
      <c r="C478" s="1" t="s">
        <v>85</v>
      </c>
      <c r="D478" s="1" t="s">
        <v>8</v>
      </c>
      <c r="E478" s="1" t="s">
        <v>83</v>
      </c>
      <c r="F478" s="1" t="s">
        <v>122</v>
      </c>
      <c r="G478" s="1">
        <v>6</v>
      </c>
      <c r="H478" s="1">
        <v>850</v>
      </c>
      <c r="I478" s="1" t="s">
        <v>19</v>
      </c>
      <c r="J478" s="1" t="s">
        <v>37</v>
      </c>
      <c r="K478" s="1">
        <f>Table1[[#This Row],[Quantity]]*Table1[[#This Row],[Unit Price]]</f>
        <v>5100</v>
      </c>
    </row>
    <row r="479" spans="1:11" x14ac:dyDescent="0.4">
      <c r="A479" s="1" t="s">
        <v>572</v>
      </c>
      <c r="B479" s="3">
        <v>46268</v>
      </c>
      <c r="C479" s="1" t="s">
        <v>67</v>
      </c>
      <c r="D479" s="1" t="s">
        <v>21</v>
      </c>
      <c r="E479" s="1" t="s">
        <v>23</v>
      </c>
      <c r="F479" s="1" t="s">
        <v>98</v>
      </c>
      <c r="G479" s="1">
        <v>4</v>
      </c>
      <c r="H479" s="1">
        <v>600</v>
      </c>
      <c r="I479" s="1" t="s">
        <v>36</v>
      </c>
      <c r="J479" s="1" t="s">
        <v>81</v>
      </c>
      <c r="K479" s="1">
        <f>Table1[[#This Row],[Quantity]]*Table1[[#This Row],[Unit Price]]</f>
        <v>2400</v>
      </c>
    </row>
    <row r="480" spans="1:11" x14ac:dyDescent="0.4">
      <c r="A480" s="1" t="s">
        <v>573</v>
      </c>
      <c r="B480" s="3">
        <v>46177</v>
      </c>
      <c r="C480" s="1" t="s">
        <v>160</v>
      </c>
      <c r="D480" s="1" t="s">
        <v>21</v>
      </c>
      <c r="E480" s="1" t="s">
        <v>16</v>
      </c>
      <c r="F480" s="1" t="s">
        <v>77</v>
      </c>
      <c r="G480" s="1">
        <v>2</v>
      </c>
      <c r="H480" s="1">
        <v>275</v>
      </c>
      <c r="I480" s="1" t="s">
        <v>11</v>
      </c>
      <c r="J480" s="1" t="s">
        <v>30</v>
      </c>
      <c r="K480" s="1">
        <f>Table1[[#This Row],[Quantity]]*Table1[[#This Row],[Unit Price]]</f>
        <v>550</v>
      </c>
    </row>
    <row r="481" spans="1:11" x14ac:dyDescent="0.4">
      <c r="A481" s="1" t="s">
        <v>574</v>
      </c>
      <c r="B481" s="3">
        <v>46243</v>
      </c>
      <c r="C481" s="1" t="s">
        <v>85</v>
      </c>
      <c r="D481" s="1" t="s">
        <v>12</v>
      </c>
      <c r="E481" s="1" t="s">
        <v>79</v>
      </c>
      <c r="F481" s="1" t="s">
        <v>105</v>
      </c>
      <c r="G481" s="1">
        <v>3</v>
      </c>
      <c r="H481" s="1">
        <v>4620</v>
      </c>
      <c r="I481" s="1" t="s">
        <v>36</v>
      </c>
      <c r="J481" s="1" t="s">
        <v>73</v>
      </c>
      <c r="K481" s="1">
        <f>Table1[[#This Row],[Quantity]]*Table1[[#This Row],[Unit Price]]</f>
        <v>13860</v>
      </c>
    </row>
    <row r="482" spans="1:11" x14ac:dyDescent="0.4">
      <c r="A482" s="1" t="s">
        <v>575</v>
      </c>
      <c r="B482" s="3">
        <v>46140</v>
      </c>
      <c r="C482" s="1" t="s">
        <v>190</v>
      </c>
      <c r="D482" s="1" t="s">
        <v>22</v>
      </c>
      <c r="E482" s="1" t="s">
        <v>83</v>
      </c>
      <c r="F482" s="1" t="s">
        <v>122</v>
      </c>
      <c r="G482" s="1">
        <v>1</v>
      </c>
      <c r="H482" s="1">
        <v>850</v>
      </c>
      <c r="I482" s="1" t="s">
        <v>36</v>
      </c>
      <c r="J482" s="1" t="s">
        <v>37</v>
      </c>
      <c r="K482" s="1">
        <f>Table1[[#This Row],[Quantity]]*Table1[[#This Row],[Unit Price]]</f>
        <v>850</v>
      </c>
    </row>
    <row r="483" spans="1:11" x14ac:dyDescent="0.4">
      <c r="A483" s="1" t="s">
        <v>576</v>
      </c>
      <c r="B483" s="3">
        <v>46280</v>
      </c>
      <c r="C483" s="1" t="s">
        <v>95</v>
      </c>
      <c r="D483" s="1" t="s">
        <v>14</v>
      </c>
      <c r="E483" s="1" t="s">
        <v>23</v>
      </c>
      <c r="F483" s="1" t="s">
        <v>98</v>
      </c>
      <c r="G483" s="1">
        <v>1</v>
      </c>
      <c r="H483" s="1">
        <v>660</v>
      </c>
      <c r="I483" s="1" t="s">
        <v>11</v>
      </c>
      <c r="J483" s="1" t="s">
        <v>75</v>
      </c>
      <c r="K483" s="1">
        <f>Table1[[#This Row],[Quantity]]*Table1[[#This Row],[Unit Price]]</f>
        <v>660</v>
      </c>
    </row>
    <row r="484" spans="1:11" x14ac:dyDescent="0.4">
      <c r="A484" s="1" t="s">
        <v>577</v>
      </c>
      <c r="B484" s="3">
        <v>46216</v>
      </c>
      <c r="C484" s="1" t="s">
        <v>190</v>
      </c>
      <c r="D484" s="1" t="s">
        <v>25</v>
      </c>
      <c r="E484" s="1" t="s">
        <v>79</v>
      </c>
      <c r="F484" s="1" t="s">
        <v>88</v>
      </c>
      <c r="G484" s="1">
        <v>3</v>
      </c>
      <c r="H484" s="1">
        <v>6175</v>
      </c>
      <c r="I484" s="1" t="s">
        <v>36</v>
      </c>
      <c r="J484" s="1" t="s">
        <v>37</v>
      </c>
      <c r="K484" s="1">
        <f>Table1[[#This Row],[Quantity]]*Table1[[#This Row],[Unit Price]]</f>
        <v>18525</v>
      </c>
    </row>
    <row r="485" spans="1:11" x14ac:dyDescent="0.4">
      <c r="A485" s="1" t="s">
        <v>578</v>
      </c>
      <c r="B485" s="3">
        <v>46220</v>
      </c>
      <c r="C485" s="1" t="s">
        <v>30</v>
      </c>
      <c r="D485" s="1" t="s">
        <v>14</v>
      </c>
      <c r="E485" s="1" t="s">
        <v>86</v>
      </c>
      <c r="F485" s="1" t="s">
        <v>89</v>
      </c>
      <c r="G485" s="1">
        <v>2</v>
      </c>
      <c r="H485" s="1">
        <v>665</v>
      </c>
      <c r="I485" s="1" t="s">
        <v>36</v>
      </c>
      <c r="J485" s="1" t="s">
        <v>73</v>
      </c>
      <c r="K485" s="1">
        <f>Table1[[#This Row],[Quantity]]*Table1[[#This Row],[Unit Price]]</f>
        <v>1330</v>
      </c>
    </row>
    <row r="486" spans="1:11" x14ac:dyDescent="0.4">
      <c r="A486" s="1" t="s">
        <v>579</v>
      </c>
      <c r="B486" s="3">
        <v>46295</v>
      </c>
      <c r="C486" s="1" t="s">
        <v>157</v>
      </c>
      <c r="D486" s="1" t="s">
        <v>22</v>
      </c>
      <c r="E486" s="1" t="s">
        <v>23</v>
      </c>
      <c r="F486" s="1" t="s">
        <v>18</v>
      </c>
      <c r="G486" s="1">
        <v>3</v>
      </c>
      <c r="H486" s="1">
        <v>472.5</v>
      </c>
      <c r="I486" s="1" t="s">
        <v>36</v>
      </c>
      <c r="J486" s="1" t="s">
        <v>33</v>
      </c>
      <c r="K486" s="1">
        <f>Table1[[#This Row],[Quantity]]*Table1[[#This Row],[Unit Price]]</f>
        <v>1417.5</v>
      </c>
    </row>
    <row r="487" spans="1:11" x14ac:dyDescent="0.4">
      <c r="A487" s="1" t="s">
        <v>580</v>
      </c>
      <c r="B487" s="3">
        <v>46281</v>
      </c>
      <c r="C487" s="1" t="s">
        <v>41</v>
      </c>
      <c r="D487" s="1" t="s">
        <v>12</v>
      </c>
      <c r="E487" s="1" t="s">
        <v>16</v>
      </c>
      <c r="F487" s="1" t="s">
        <v>65</v>
      </c>
      <c r="G487" s="1">
        <v>2</v>
      </c>
      <c r="H487" s="1">
        <v>157.5</v>
      </c>
      <c r="I487" s="1" t="s">
        <v>19</v>
      </c>
      <c r="J487" s="1" t="s">
        <v>73</v>
      </c>
      <c r="K487" s="1">
        <f>Table1[[#This Row],[Quantity]]*Table1[[#This Row],[Unit Price]]</f>
        <v>315</v>
      </c>
    </row>
    <row r="488" spans="1:11" x14ac:dyDescent="0.4">
      <c r="A488" s="1" t="s">
        <v>581</v>
      </c>
      <c r="B488" s="3">
        <v>46198</v>
      </c>
      <c r="C488" s="1" t="s">
        <v>78</v>
      </c>
      <c r="D488" s="1" t="s">
        <v>12</v>
      </c>
      <c r="E488" s="1" t="s">
        <v>10</v>
      </c>
      <c r="F488" s="1" t="s">
        <v>68</v>
      </c>
      <c r="G488" s="1">
        <v>1</v>
      </c>
      <c r="H488" s="1">
        <v>2500</v>
      </c>
      <c r="I488" s="1" t="s">
        <v>74</v>
      </c>
      <c r="J488" s="1" t="s">
        <v>37</v>
      </c>
      <c r="K488" s="1">
        <f>Table1[[#This Row],[Quantity]]*Table1[[#This Row],[Unit Price]]</f>
        <v>2500</v>
      </c>
    </row>
    <row r="489" spans="1:11" x14ac:dyDescent="0.4">
      <c r="A489" s="1" t="s">
        <v>582</v>
      </c>
      <c r="B489" s="3">
        <v>46208</v>
      </c>
      <c r="C489" s="1" t="s">
        <v>90</v>
      </c>
      <c r="D489" s="1" t="s">
        <v>24</v>
      </c>
      <c r="E489" s="1" t="s">
        <v>23</v>
      </c>
      <c r="F489" s="1" t="s">
        <v>53</v>
      </c>
      <c r="G489" s="1">
        <v>3</v>
      </c>
      <c r="H489" s="1">
        <v>577.5</v>
      </c>
      <c r="I489" s="1" t="s">
        <v>74</v>
      </c>
      <c r="J489" s="1" t="s">
        <v>30</v>
      </c>
      <c r="K489" s="1">
        <f>Table1[[#This Row],[Quantity]]*Table1[[#This Row],[Unit Price]]</f>
        <v>1732.5</v>
      </c>
    </row>
    <row r="490" spans="1:11" x14ac:dyDescent="0.4">
      <c r="A490" s="1" t="s">
        <v>583</v>
      </c>
      <c r="B490" s="3">
        <v>46275</v>
      </c>
      <c r="C490" s="1" t="s">
        <v>202</v>
      </c>
      <c r="D490" s="1" t="s">
        <v>24</v>
      </c>
      <c r="E490" s="1" t="s">
        <v>10</v>
      </c>
      <c r="F490" s="1" t="s">
        <v>59</v>
      </c>
      <c r="G490" s="1">
        <v>2</v>
      </c>
      <c r="H490" s="1">
        <v>1400</v>
      </c>
      <c r="I490" s="1" t="s">
        <v>74</v>
      </c>
      <c r="J490" s="1" t="s">
        <v>75</v>
      </c>
      <c r="K490" s="1">
        <f>Table1[[#This Row],[Quantity]]*Table1[[#This Row],[Unit Price]]</f>
        <v>2800</v>
      </c>
    </row>
    <row r="491" spans="1:11" x14ac:dyDescent="0.4">
      <c r="A491" s="1" t="s">
        <v>584</v>
      </c>
      <c r="B491" s="3">
        <v>46189</v>
      </c>
      <c r="C491" s="1" t="s">
        <v>41</v>
      </c>
      <c r="D491" s="1" t="s">
        <v>14</v>
      </c>
      <c r="E491" s="1" t="s">
        <v>86</v>
      </c>
      <c r="F491" s="1" t="s">
        <v>112</v>
      </c>
      <c r="G491" s="1">
        <v>1</v>
      </c>
      <c r="H491" s="1">
        <v>900</v>
      </c>
      <c r="I491" s="1" t="s">
        <v>36</v>
      </c>
      <c r="J491" s="1" t="s">
        <v>81</v>
      </c>
      <c r="K491" s="1">
        <f>Table1[[#This Row],[Quantity]]*Table1[[#This Row],[Unit Price]]</f>
        <v>900</v>
      </c>
    </row>
    <row r="492" spans="1:11" x14ac:dyDescent="0.4">
      <c r="A492" s="1" t="s">
        <v>585</v>
      </c>
      <c r="B492" s="3">
        <v>46258</v>
      </c>
      <c r="C492" s="1" t="s">
        <v>95</v>
      </c>
      <c r="D492" s="1" t="s">
        <v>24</v>
      </c>
      <c r="E492" s="1" t="s">
        <v>83</v>
      </c>
      <c r="F492" s="1" t="s">
        <v>84</v>
      </c>
      <c r="G492" s="1">
        <v>1</v>
      </c>
      <c r="H492" s="1">
        <v>300</v>
      </c>
      <c r="I492" s="1" t="s">
        <v>74</v>
      </c>
      <c r="J492" s="1" t="s">
        <v>37</v>
      </c>
      <c r="K492" s="1">
        <f>Table1[[#This Row],[Quantity]]*Table1[[#This Row],[Unit Price]]</f>
        <v>300</v>
      </c>
    </row>
    <row r="493" spans="1:11" x14ac:dyDescent="0.4">
      <c r="A493" s="1" t="s">
        <v>586</v>
      </c>
      <c r="B493" s="3">
        <v>46274</v>
      </c>
      <c r="C493" s="1" t="s">
        <v>29</v>
      </c>
      <c r="D493" s="1" t="s">
        <v>25</v>
      </c>
      <c r="E493" s="1" t="s">
        <v>16</v>
      </c>
      <c r="F493" s="1" t="s">
        <v>65</v>
      </c>
      <c r="G493" s="1">
        <v>2</v>
      </c>
      <c r="H493" s="1">
        <v>142.5</v>
      </c>
      <c r="I493" s="1" t="s">
        <v>36</v>
      </c>
      <c r="J493" s="1" t="s">
        <v>33</v>
      </c>
      <c r="K493" s="1">
        <f>Table1[[#This Row],[Quantity]]*Table1[[#This Row],[Unit Price]]</f>
        <v>285</v>
      </c>
    </row>
    <row r="494" spans="1:11" x14ac:dyDescent="0.4">
      <c r="A494" s="1" t="s">
        <v>587</v>
      </c>
      <c r="B494" s="3">
        <v>46156</v>
      </c>
      <c r="C494" s="1" t="s">
        <v>41</v>
      </c>
      <c r="D494" s="1" t="s">
        <v>21</v>
      </c>
      <c r="E494" s="1" t="s">
        <v>16</v>
      </c>
      <c r="F494" s="1" t="s">
        <v>56</v>
      </c>
      <c r="G494" s="1">
        <v>2</v>
      </c>
      <c r="H494" s="1">
        <v>190</v>
      </c>
      <c r="I494" s="1" t="s">
        <v>74</v>
      </c>
      <c r="J494" s="1" t="s">
        <v>81</v>
      </c>
      <c r="K494" s="1">
        <f>Table1[[#This Row],[Quantity]]*Table1[[#This Row],[Unit Price]]</f>
        <v>380</v>
      </c>
    </row>
    <row r="495" spans="1:11" x14ac:dyDescent="0.4">
      <c r="A495" s="1" t="s">
        <v>588</v>
      </c>
      <c r="B495" s="3">
        <v>46222</v>
      </c>
      <c r="C495" s="1" t="s">
        <v>102</v>
      </c>
      <c r="D495" s="1" t="s">
        <v>14</v>
      </c>
      <c r="E495" s="1" t="s">
        <v>83</v>
      </c>
      <c r="F495" s="1" t="s">
        <v>122</v>
      </c>
      <c r="G495" s="1">
        <v>2</v>
      </c>
      <c r="H495" s="1">
        <v>807.5</v>
      </c>
      <c r="I495" s="1" t="s">
        <v>36</v>
      </c>
      <c r="J495" s="1" t="s">
        <v>30</v>
      </c>
      <c r="K495" s="1">
        <f>Table1[[#This Row],[Quantity]]*Table1[[#This Row],[Unit Price]]</f>
        <v>1615</v>
      </c>
    </row>
    <row r="496" spans="1:11" x14ac:dyDescent="0.4">
      <c r="A496" s="1" t="s">
        <v>589</v>
      </c>
      <c r="B496" s="3">
        <v>46195</v>
      </c>
      <c r="C496" s="1" t="s">
        <v>190</v>
      </c>
      <c r="D496" s="1" t="s">
        <v>14</v>
      </c>
      <c r="E496" s="1" t="s">
        <v>16</v>
      </c>
      <c r="F496" s="1" t="s">
        <v>154</v>
      </c>
      <c r="G496" s="1">
        <v>1</v>
      </c>
      <c r="H496" s="1">
        <v>85.5</v>
      </c>
      <c r="I496" s="1" t="s">
        <v>19</v>
      </c>
      <c r="J496" s="1" t="s">
        <v>73</v>
      </c>
      <c r="K496" s="1">
        <f>Table1[[#This Row],[Quantity]]*Table1[[#This Row],[Unit Price]]</f>
        <v>85.5</v>
      </c>
    </row>
    <row r="497" spans="1:12" x14ac:dyDescent="0.4">
      <c r="A497" s="1" t="s">
        <v>590</v>
      </c>
      <c r="B497" s="3">
        <v>46201</v>
      </c>
      <c r="C497" s="1" t="s">
        <v>202</v>
      </c>
      <c r="D497" s="1" t="s">
        <v>12</v>
      </c>
      <c r="E497" s="1" t="s">
        <v>23</v>
      </c>
      <c r="F497" s="1" t="s">
        <v>98</v>
      </c>
      <c r="G497" s="1">
        <v>1</v>
      </c>
      <c r="H497" s="1">
        <v>630</v>
      </c>
      <c r="I497" s="1" t="s">
        <v>19</v>
      </c>
      <c r="J497" s="1" t="s">
        <v>30</v>
      </c>
      <c r="K497" s="1">
        <f>Table1[[#This Row],[Quantity]]*Table1[[#This Row],[Unit Price]]</f>
        <v>630</v>
      </c>
    </row>
    <row r="498" spans="1:12" x14ac:dyDescent="0.4">
      <c r="A498" s="1" t="s">
        <v>591</v>
      </c>
      <c r="B498" s="3">
        <v>46124</v>
      </c>
      <c r="C498" s="1" t="s">
        <v>78</v>
      </c>
      <c r="D498" s="1" t="s">
        <v>22</v>
      </c>
      <c r="E498" s="1" t="s">
        <v>23</v>
      </c>
      <c r="F498" s="1" t="s">
        <v>98</v>
      </c>
      <c r="G498" s="1">
        <v>6</v>
      </c>
      <c r="H498" s="1">
        <v>630</v>
      </c>
      <c r="I498" s="1" t="s">
        <v>74</v>
      </c>
      <c r="J498" s="1" t="s">
        <v>73</v>
      </c>
      <c r="K498" s="1">
        <f>Table1[[#This Row],[Quantity]]*Table1[[#This Row],[Unit Price]]</f>
        <v>3780</v>
      </c>
    </row>
    <row r="499" spans="1:12" x14ac:dyDescent="0.4">
      <c r="A499" s="1" t="s">
        <v>592</v>
      </c>
      <c r="B499" s="3">
        <v>46147</v>
      </c>
      <c r="C499" s="1" t="s">
        <v>61</v>
      </c>
      <c r="D499" s="1" t="s">
        <v>14</v>
      </c>
      <c r="E499" s="1" t="s">
        <v>79</v>
      </c>
      <c r="F499" s="1" t="s">
        <v>107</v>
      </c>
      <c r="G499" s="1">
        <v>10</v>
      </c>
      <c r="H499" s="1">
        <v>1890</v>
      </c>
      <c r="I499" s="1" t="s">
        <v>19</v>
      </c>
      <c r="J499" s="1" t="s">
        <v>81</v>
      </c>
      <c r="K499" s="1">
        <f>Table1[[#This Row],[Quantity]]*Table1[[#This Row],[Unit Price]]</f>
        <v>18900</v>
      </c>
    </row>
    <row r="500" spans="1:12" x14ac:dyDescent="0.4">
      <c r="A500" s="1" t="s">
        <v>593</v>
      </c>
      <c r="B500" s="3">
        <v>46117</v>
      </c>
      <c r="C500" s="1" t="s">
        <v>47</v>
      </c>
      <c r="D500" s="1" t="s">
        <v>8</v>
      </c>
      <c r="E500" s="1" t="s">
        <v>23</v>
      </c>
      <c r="F500" s="1" t="s">
        <v>18</v>
      </c>
      <c r="G500" s="1">
        <v>1</v>
      </c>
      <c r="H500" s="1">
        <v>450</v>
      </c>
      <c r="I500" s="1" t="s">
        <v>19</v>
      </c>
      <c r="J500" s="1" t="s">
        <v>30</v>
      </c>
      <c r="K500" s="1">
        <f>Table1[[#This Row],[Quantity]]*Table1[[#This Row],[Unit Price]]</f>
        <v>450</v>
      </c>
    </row>
    <row r="501" spans="1:12" x14ac:dyDescent="0.4">
      <c r="A501" s="1" t="s">
        <v>594</v>
      </c>
      <c r="B501" s="3">
        <v>46206</v>
      </c>
      <c r="C501" s="1" t="s">
        <v>95</v>
      </c>
      <c r="D501" s="1" t="s">
        <v>8</v>
      </c>
      <c r="E501" s="1" t="s">
        <v>10</v>
      </c>
      <c r="F501" s="1" t="s">
        <v>42</v>
      </c>
      <c r="G501" s="1">
        <v>2</v>
      </c>
      <c r="H501" s="1">
        <v>1800</v>
      </c>
      <c r="I501" s="1" t="s">
        <v>11</v>
      </c>
      <c r="J501" s="1" t="s">
        <v>73</v>
      </c>
      <c r="K501" s="1">
        <f>Table1[[#This Row],[Quantity]]*Table1[[#This Row],[Unit Price]]</f>
        <v>3600</v>
      </c>
    </row>
    <row r="502" spans="1:12" ht="37" x14ac:dyDescent="0.85">
      <c r="E502" s="10" t="s">
        <v>596</v>
      </c>
      <c r="F502" s="9"/>
      <c r="K502" s="13">
        <f>SUM(G2:G501)</f>
        <v>1490</v>
      </c>
      <c r="L502" s="13"/>
    </row>
    <row r="503" spans="1:12" ht="37" x14ac:dyDescent="0.85">
      <c r="E503" s="11" t="s">
        <v>597</v>
      </c>
      <c r="F503" s="9"/>
      <c r="K503" s="13">
        <f>1881700/500</f>
        <v>3763.4</v>
      </c>
      <c r="L503" s="13"/>
    </row>
    <row r="504" spans="1:12" ht="37.5" customHeight="1" x14ac:dyDescent="0.85">
      <c r="E504" s="12" t="s">
        <v>598</v>
      </c>
      <c r="F504" s="9"/>
      <c r="K504" s="17">
        <f>1881700/1490</f>
        <v>1262.8859060402685</v>
      </c>
      <c r="L504" s="13"/>
    </row>
    <row r="505" spans="1:12" ht="29" thickBot="1" x14ac:dyDescent="0.7">
      <c r="L505" s="13"/>
    </row>
    <row r="506" spans="1:12" ht="37.5" thickTop="1" x14ac:dyDescent="0.85">
      <c r="E506" s="12" t="s">
        <v>608</v>
      </c>
      <c r="F506" s="12"/>
      <c r="G506" s="12"/>
      <c r="H506" s="12"/>
      <c r="K506" s="16">
        <f>SUM(K2:K501)</f>
        <v>1881700</v>
      </c>
    </row>
  </sheetData>
  <phoneticPr fontId="3" type="noConversion"/>
  <conditionalFormatting sqref="A1:A1048576">
    <cfRule type="duplicateValues" dxfId="1" priority="1"/>
    <cfRule type="duplicateValues" dxfId="0" priority="2"/>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B3D5-DDF6-4AEC-91EA-EAB244DE5EC5}">
  <dimension ref="B1:Y10"/>
  <sheetViews>
    <sheetView showGridLines="0" showRowColHeaders="0" tabSelected="1" zoomScale="49" zoomScaleNormal="60" workbookViewId="0">
      <selection activeCell="M41" sqref="M41"/>
    </sheetView>
  </sheetViews>
  <sheetFormatPr defaultRowHeight="16" x14ac:dyDescent="0.4"/>
  <cols>
    <col min="1" max="1" width="3.58203125" style="14" customWidth="1"/>
    <col min="2" max="25" width="8.6640625" style="14"/>
    <col min="26" max="26" width="3.58203125" style="14" customWidth="1"/>
    <col min="27" max="16384" width="8.6640625" style="14"/>
  </cols>
  <sheetData>
    <row r="1" spans="2:25" ht="1" customHeight="1" x14ac:dyDescent="0.4"/>
    <row r="3" spans="2:25" ht="16" customHeight="1" x14ac:dyDescent="0.4">
      <c r="B3" s="29" t="s">
        <v>613</v>
      </c>
      <c r="C3" s="30"/>
      <c r="D3" s="30"/>
      <c r="E3" s="30"/>
      <c r="F3" s="30"/>
      <c r="G3" s="30"/>
      <c r="H3" s="30"/>
      <c r="I3" s="30"/>
      <c r="J3" s="30"/>
      <c r="K3" s="30"/>
      <c r="L3" s="30"/>
      <c r="M3" s="30"/>
      <c r="N3" s="30"/>
      <c r="O3" s="30"/>
      <c r="P3" s="30"/>
      <c r="Q3" s="30"/>
      <c r="R3" s="23"/>
      <c r="S3" s="23"/>
      <c r="T3" s="23"/>
      <c r="U3" s="23"/>
      <c r="V3" s="23"/>
      <c r="W3" s="23"/>
      <c r="X3" s="24"/>
      <c r="Y3" s="25"/>
    </row>
    <row r="4" spans="2:25" x14ac:dyDescent="0.4">
      <c r="B4" s="30"/>
      <c r="C4" s="30"/>
      <c r="D4" s="30"/>
      <c r="E4" s="30"/>
      <c r="F4" s="30"/>
      <c r="G4" s="30"/>
      <c r="H4" s="30"/>
      <c r="I4" s="30"/>
      <c r="J4" s="30"/>
      <c r="K4" s="30"/>
      <c r="L4" s="30"/>
      <c r="M4" s="30"/>
      <c r="N4" s="30"/>
      <c r="O4" s="30"/>
      <c r="P4" s="30"/>
      <c r="Q4" s="30"/>
      <c r="R4" s="23"/>
      <c r="S4" s="23"/>
      <c r="T4" s="23"/>
      <c r="U4" s="23"/>
      <c r="V4" s="23"/>
      <c r="W4" s="23"/>
      <c r="X4" s="24"/>
      <c r="Y4" s="25"/>
    </row>
    <row r="5" spans="2:25" ht="23.5" x14ac:dyDescent="0.55000000000000004">
      <c r="B5" s="18" t="s">
        <v>609</v>
      </c>
      <c r="C5" s="19"/>
      <c r="D5" s="19"/>
      <c r="E5" s="19"/>
      <c r="F5" s="20"/>
      <c r="G5" s="21"/>
    </row>
    <row r="6" spans="2:25" ht="23.5" x14ac:dyDescent="0.55000000000000004">
      <c r="B6" s="22"/>
      <c r="C6" s="22"/>
      <c r="D6" s="22"/>
      <c r="E6" s="22"/>
      <c r="F6" s="22"/>
      <c r="G6" s="22"/>
    </row>
    <row r="7" spans="2:25" x14ac:dyDescent="0.4">
      <c r="B7" s="31" t="s">
        <v>608</v>
      </c>
      <c r="C7" s="32"/>
      <c r="D7" s="32"/>
      <c r="E7" s="32"/>
      <c r="G7" s="31" t="s">
        <v>610</v>
      </c>
      <c r="H7" s="32"/>
      <c r="I7" s="32"/>
      <c r="J7" s="32"/>
      <c r="L7" s="31" t="s">
        <v>611</v>
      </c>
      <c r="M7" s="32"/>
      <c r="N7" s="32"/>
      <c r="O7" s="32"/>
      <c r="Q7" s="31" t="s">
        <v>612</v>
      </c>
      <c r="R7" s="32"/>
      <c r="S7" s="32"/>
      <c r="T7" s="32"/>
    </row>
    <row r="8" spans="2:25" x14ac:dyDescent="0.4">
      <c r="B8" s="32"/>
      <c r="C8" s="32"/>
      <c r="D8" s="32"/>
      <c r="E8" s="32"/>
      <c r="G8" s="32"/>
      <c r="H8" s="32"/>
      <c r="I8" s="32"/>
      <c r="J8" s="32"/>
      <c r="L8" s="32"/>
      <c r="M8" s="32"/>
      <c r="N8" s="32"/>
      <c r="O8" s="32"/>
      <c r="Q8" s="32"/>
      <c r="R8" s="32"/>
      <c r="S8" s="32"/>
      <c r="T8" s="32"/>
    </row>
    <row r="9" spans="2:25" x14ac:dyDescent="0.4">
      <c r="B9" s="26">
        <f>Raw_Data!K506</f>
        <v>1881700</v>
      </c>
      <c r="C9" s="26"/>
      <c r="D9" s="26"/>
      <c r="E9" s="26"/>
      <c r="G9" s="27">
        <f>Raw_Data!K502</f>
        <v>1490</v>
      </c>
      <c r="H9" s="27"/>
      <c r="I9" s="27"/>
      <c r="J9" s="27"/>
      <c r="L9" s="27">
        <f>Raw_Data!K503</f>
        <v>3763.4</v>
      </c>
      <c r="M9" s="27"/>
      <c r="N9" s="27"/>
      <c r="O9" s="27"/>
      <c r="Q9" s="28">
        <f>Raw_Data!K504</f>
        <v>1262.8859060402685</v>
      </c>
      <c r="R9" s="28"/>
      <c r="S9" s="28"/>
      <c r="T9" s="28"/>
    </row>
    <row r="10" spans="2:25" x14ac:dyDescent="0.4">
      <c r="B10" s="26"/>
      <c r="C10" s="26"/>
      <c r="D10" s="26"/>
      <c r="E10" s="26"/>
      <c r="G10" s="27"/>
      <c r="H10" s="27"/>
      <c r="I10" s="27"/>
      <c r="J10" s="27"/>
      <c r="L10" s="27"/>
      <c r="M10" s="27"/>
      <c r="N10" s="27"/>
      <c r="O10" s="27"/>
      <c r="Q10" s="28"/>
      <c r="R10" s="28"/>
      <c r="S10" s="28"/>
      <c r="T10" s="28"/>
    </row>
  </sheetData>
  <mergeCells count="9">
    <mergeCell ref="B9:E10"/>
    <mergeCell ref="G9:J10"/>
    <mergeCell ref="L9:O10"/>
    <mergeCell ref="Q9:T10"/>
    <mergeCell ref="B3:Q4"/>
    <mergeCell ref="B7:E8"/>
    <mergeCell ref="G7:J8"/>
    <mergeCell ref="L7:O8"/>
    <mergeCell ref="Q7:T8"/>
  </mergeCells>
  <phoneticPr fontId="3"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Raw_Data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Umme kulsum</dc:creator>
  <cp:lastModifiedBy>Umme Kulsum</cp:lastModifiedBy>
  <cp:lastPrinted>2026-10-14T15:20:01Z</cp:lastPrinted>
  <dcterms:created xsi:type="dcterms:W3CDTF">2026-09-24T14:41:29Z</dcterms:created>
  <dcterms:modified xsi:type="dcterms:W3CDTF">2026-10-15T12:21:58Z</dcterms:modified>
</cp:coreProperties>
</file>